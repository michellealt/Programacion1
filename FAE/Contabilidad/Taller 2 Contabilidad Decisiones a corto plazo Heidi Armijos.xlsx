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ASUS M5401\Desktop\"/>
    </mc:Choice>
  </mc:AlternateContent>
  <xr:revisionPtr revIDLastSave="0" documentId="13_ncr:1_{31519C36-2E8F-455A-AB4E-300CE977BAC8}" xr6:coauthVersionLast="47" xr6:coauthVersionMax="47" xr10:uidLastSave="{00000000-0000-0000-0000-000000000000}"/>
  <bookViews>
    <workbookView xWindow="-120" yWindow="-120" windowWidth="29040" windowHeight="15840" xr2:uid="{07A2A9A4-BF72-4DDF-9618-87393AD1045C}"/>
  </bookViews>
  <sheets>
    <sheet name="Punto de equilibrio" sheetId="2" r:id="rId1"/>
    <sheet name="Adminis CxC"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P106" i="2" l="1"/>
  <c r="M106" i="2"/>
  <c r="J106" i="2"/>
  <c r="T120" i="2"/>
  <c r="O120" i="2"/>
  <c r="G117" i="2"/>
  <c r="K117" i="2"/>
  <c r="M59" i="2" l="1"/>
  <c r="L59" i="2"/>
  <c r="I102" i="2"/>
  <c r="C18" i="3" l="1"/>
  <c r="T116" i="2"/>
  <c r="G112" i="2"/>
  <c r="G111" i="2"/>
  <c r="K108" i="2"/>
  <c r="J101" i="2"/>
  <c r="L94" i="2"/>
  <c r="G94" i="2"/>
  <c r="J89" i="2"/>
  <c r="G89" i="2"/>
  <c r="G86" i="2"/>
  <c r="G85" i="2"/>
  <c r="I82" i="2"/>
  <c r="I78" i="2"/>
  <c r="G71" i="2"/>
  <c r="G13" i="2"/>
  <c r="Q126" i="2"/>
  <c r="L116" i="2"/>
  <c r="L114" i="2"/>
  <c r="L113" i="2"/>
  <c r="I119" i="2"/>
  <c r="I118" i="2"/>
  <c r="I116" i="2"/>
  <c r="I114" i="2"/>
  <c r="I113" i="2"/>
  <c r="I109" i="2"/>
  <c r="I108" i="2"/>
  <c r="U116" i="2"/>
  <c r="U114" i="2"/>
  <c r="U113" i="2"/>
  <c r="T113" i="2"/>
  <c r="E59" i="3"/>
  <c r="F59" i="3" s="1"/>
  <c r="E56" i="3" s="1"/>
  <c r="E24" i="3"/>
  <c r="E18" i="3"/>
  <c r="E88" i="3"/>
  <c r="C88" i="3"/>
  <c r="F81" i="3"/>
  <c r="E81" i="3"/>
  <c r="F78" i="3"/>
  <c r="E78" i="3"/>
  <c r="E73" i="3"/>
  <c r="E66" i="3"/>
  <c r="F66" i="3" s="1"/>
  <c r="C45" i="3"/>
  <c r="K43" i="3"/>
  <c r="J43" i="3"/>
  <c r="E38" i="3"/>
  <c r="I9" i="3"/>
  <c r="G110" i="2"/>
  <c r="I110" i="2" s="1"/>
  <c r="I99" i="2"/>
  <c r="K98" i="2"/>
  <c r="Q62" i="2"/>
  <c r="Q61" i="2"/>
  <c r="I79" i="2"/>
  <c r="G49" i="2"/>
  <c r="G54" i="2" s="1"/>
  <c r="G56" i="2" s="1"/>
  <c r="G59" i="2" s="1"/>
  <c r="J55" i="2"/>
  <c r="K53" i="2"/>
  <c r="J53" i="2"/>
  <c r="J52" i="2"/>
  <c r="K51" i="2"/>
  <c r="J51" i="2"/>
  <c r="K50" i="2"/>
  <c r="J50" i="2"/>
  <c r="K48" i="2"/>
  <c r="J48" i="2"/>
  <c r="S48" i="2" s="1"/>
  <c r="Q64" i="2" l="1"/>
  <c r="G106" i="2" s="1"/>
  <c r="N48" i="2"/>
  <c r="E63" i="3"/>
  <c r="J59" i="2"/>
  <c r="I98" i="2" s="1"/>
  <c r="J100" i="2" s="1"/>
  <c r="K59" i="2"/>
  <c r="M62" i="2" s="1"/>
  <c r="M63" i="2" l="1"/>
  <c r="N62" i="2" s="1"/>
  <c r="K79" i="2" s="1"/>
  <c r="J81" i="2" s="1"/>
  <c r="L51" i="2"/>
  <c r="I112" i="2" s="1"/>
  <c r="L50" i="2"/>
  <c r="I111" i="2" s="1"/>
  <c r="L48" i="2"/>
  <c r="S52" i="2" s="1"/>
  <c r="I80" i="2"/>
  <c r="S49" i="2"/>
  <c r="T48" i="2" s="1"/>
  <c r="U52" i="2" s="1"/>
  <c r="V52" i="2" l="1"/>
  <c r="N52" i="2"/>
  <c r="G3" i="3" s="1"/>
  <c r="J40" i="3" s="1"/>
  <c r="K99" i="2"/>
  <c r="N106" i="2" s="1"/>
  <c r="G115" i="2"/>
  <c r="E35" i="3" l="1"/>
  <c r="K40" i="3"/>
  <c r="E25" i="3"/>
  <c r="E19" i="3"/>
  <c r="E45" i="3"/>
  <c r="K106" i="2"/>
  <c r="I115" i="2"/>
  <c r="K112" i="2" l="1"/>
  <c r="L112" i="2" s="1"/>
  <c r="K111" i="2"/>
  <c r="L111" i="2" s="1"/>
  <c r="K109" i="2"/>
  <c r="L109" i="2" s="1"/>
  <c r="G120" i="2"/>
  <c r="I120" i="2" s="1"/>
  <c r="I117" i="2"/>
  <c r="N111" i="2" l="1"/>
  <c r="C10" i="3"/>
  <c r="N108" i="2"/>
  <c r="N112" i="2"/>
  <c r="N109" i="2"/>
  <c r="N49" i="2"/>
  <c r="O48" i="2" s="1"/>
  <c r="P52" i="2" s="1"/>
  <c r="Q52" i="2" s="1"/>
  <c r="K110" i="2"/>
  <c r="L108" i="2"/>
  <c r="O114" i="2" l="1"/>
  <c r="O113" i="2"/>
  <c r="N110" i="2"/>
  <c r="O116" i="2"/>
  <c r="O108" i="2"/>
  <c r="C81" i="3"/>
  <c r="G81" i="3" s="1"/>
  <c r="E117" i="3" s="1"/>
  <c r="G12" i="3"/>
  <c r="C78" i="3" s="1"/>
  <c r="G78" i="3" s="1"/>
  <c r="D117" i="3" s="1"/>
  <c r="C25" i="3"/>
  <c r="F25" i="3" s="1"/>
  <c r="E48" i="3" s="1"/>
  <c r="J31" i="3"/>
  <c r="C24" i="3"/>
  <c r="O111" i="2"/>
  <c r="C58" i="3"/>
  <c r="G4" i="3"/>
  <c r="C35" i="3" s="1"/>
  <c r="F35" i="3" s="1"/>
  <c r="O109" i="2"/>
  <c r="O112" i="2"/>
  <c r="L110" i="2"/>
  <c r="K115" i="2"/>
  <c r="F117" i="3" l="1"/>
  <c r="O110" i="2"/>
  <c r="N115" i="2"/>
  <c r="G82" i="3"/>
  <c r="F82" i="3" s="1"/>
  <c r="E58" i="3"/>
  <c r="F58" i="3" s="1"/>
  <c r="E55" i="3" s="1"/>
  <c r="G24" i="3"/>
  <c r="K31" i="3"/>
  <c r="J41" i="3"/>
  <c r="J35" i="3"/>
  <c r="J44" i="3" s="1"/>
  <c r="J38" i="3" s="1"/>
  <c r="F45" i="3"/>
  <c r="G45" i="3" s="1"/>
  <c r="E92" i="3" s="1"/>
  <c r="F88" i="3"/>
  <c r="G88" i="3" s="1"/>
  <c r="C19" i="3"/>
  <c r="F19" i="3" s="1"/>
  <c r="C38" i="3"/>
  <c r="F38" i="3" s="1"/>
  <c r="F26" i="3"/>
  <c r="G26" i="3" s="1"/>
  <c r="F20" i="3"/>
  <c r="L115" i="2"/>
  <c r="G20" i="3" l="1"/>
  <c r="E62" i="3"/>
  <c r="F62" i="3" s="1"/>
  <c r="G18" i="3"/>
  <c r="E65" i="3"/>
  <c r="Q106" i="2"/>
  <c r="K35" i="3"/>
  <c r="K44" i="3" s="1"/>
  <c r="K38" i="3" s="1"/>
  <c r="K41" i="3"/>
  <c r="E94" i="3"/>
  <c r="E49" i="3"/>
  <c r="G27" i="3"/>
  <c r="D118" i="3"/>
  <c r="E95" i="3"/>
  <c r="O115" i="2"/>
  <c r="N117" i="2"/>
  <c r="K118" i="2"/>
  <c r="L117" i="2"/>
  <c r="O117" i="2" l="1"/>
  <c r="N118" i="2"/>
  <c r="Q111" i="2"/>
  <c r="Q112" i="2"/>
  <c r="Q108" i="2"/>
  <c r="F48" i="3"/>
  <c r="G48" i="3" s="1"/>
  <c r="G21" i="3"/>
  <c r="C70" i="3"/>
  <c r="D116" i="3"/>
  <c r="H27" i="3"/>
  <c r="E114" i="3"/>
  <c r="Q109" i="2"/>
  <c r="C65" i="3"/>
  <c r="F65" i="3" s="1"/>
  <c r="F55" i="3" s="1"/>
  <c r="K119" i="2"/>
  <c r="L118" i="2"/>
  <c r="Q110" i="2" l="1"/>
  <c r="T108" i="2"/>
  <c r="R116" i="2"/>
  <c r="R113" i="2"/>
  <c r="R114" i="2"/>
  <c r="U108" i="2"/>
  <c r="R108" i="2"/>
  <c r="G29" i="3"/>
  <c r="H21" i="3"/>
  <c r="D114" i="3"/>
  <c r="F114" i="3" s="1"/>
  <c r="R112" i="2"/>
  <c r="U112" i="2"/>
  <c r="T112" i="2"/>
  <c r="E70" i="3"/>
  <c r="F70" i="3" s="1"/>
  <c r="C73" i="3" s="1"/>
  <c r="F73" i="3" s="1"/>
  <c r="E116" i="3"/>
  <c r="F116" i="3" s="1"/>
  <c r="R111" i="2"/>
  <c r="U111" i="2"/>
  <c r="T111" i="2"/>
  <c r="O118" i="2"/>
  <c r="N119" i="2"/>
  <c r="R109" i="2"/>
  <c r="T109" i="2"/>
  <c r="U109" i="2"/>
  <c r="L119" i="2"/>
  <c r="K120" i="2"/>
  <c r="L120" i="2" s="1"/>
  <c r="G116" i="3" l="1"/>
  <c r="E93" i="3"/>
  <c r="E96" i="3" s="1"/>
  <c r="O119" i="2"/>
  <c r="N120" i="2"/>
  <c r="R110" i="2"/>
  <c r="U110" i="2"/>
  <c r="T110" i="2"/>
  <c r="Q115" i="2"/>
  <c r="R115" i="2" l="1"/>
  <c r="T115" i="2"/>
  <c r="Q117" i="2"/>
  <c r="Q125" i="2" s="1"/>
  <c r="Q127" i="2" s="1"/>
  <c r="U115" i="2"/>
  <c r="R117" i="2" l="1"/>
  <c r="T117" i="2"/>
  <c r="Q118" i="2"/>
  <c r="U117" i="2"/>
  <c r="R118" i="2" l="1"/>
  <c r="Q119" i="2"/>
  <c r="T118" i="2"/>
  <c r="U118" i="2"/>
  <c r="R119" i="2" l="1"/>
  <c r="U119" i="2"/>
  <c r="T119" i="2"/>
  <c r="Q120" i="2"/>
  <c r="R120" i="2" l="1"/>
  <c r="U120" i="2"/>
</calcChain>
</file>

<file path=xl/sharedStrings.xml><?xml version="1.0" encoding="utf-8"?>
<sst xmlns="http://schemas.openxmlformats.org/spreadsheetml/2006/main" count="341" uniqueCount="249">
  <si>
    <t>Efectivo y equivalentes de efectivo</t>
  </si>
  <si>
    <t>Cuentas por cobrar</t>
  </si>
  <si>
    <t>Inventarios</t>
  </si>
  <si>
    <t>Otros activos corrientes</t>
  </si>
  <si>
    <t>Cuentas por pagar / Proveedores</t>
  </si>
  <si>
    <t>Otros pasivos corrientes</t>
  </si>
  <si>
    <t>P.P.E Bruta</t>
  </si>
  <si>
    <t>Depreciación acumulada</t>
  </si>
  <si>
    <t>P.P.E Neta</t>
  </si>
  <si>
    <t>Otros activos no corrientes</t>
  </si>
  <si>
    <t>Obligaciones financieras de corto plazo</t>
  </si>
  <si>
    <t>Otros pasivos no corrientes</t>
  </si>
  <si>
    <t>Capital</t>
  </si>
  <si>
    <t>Reservas</t>
  </si>
  <si>
    <t>Utilidades retenidas</t>
  </si>
  <si>
    <t>Ingresos</t>
  </si>
  <si>
    <t>Costo de ventas</t>
  </si>
  <si>
    <t>Depreciaciones y amortizaciones</t>
  </si>
  <si>
    <t>Otros ingresos / gastos neto</t>
  </si>
  <si>
    <t>Gastos financieros</t>
  </si>
  <si>
    <t>Utilidad antes de impuestos UAI</t>
  </si>
  <si>
    <t>Impuestos</t>
  </si>
  <si>
    <t>Utilidad del período (Utilidad neta o Utilidad después de impuestos</t>
  </si>
  <si>
    <t>Estado de situación finaciera</t>
  </si>
  <si>
    <t>ACTIVOS</t>
  </si>
  <si>
    <t>Activos Corrientes:</t>
  </si>
  <si>
    <t>Efectivo_y_equivalentes_de</t>
  </si>
  <si>
    <t>Inversiones financieras C/P</t>
  </si>
  <si>
    <t>Inversiones_financieras_C_P</t>
  </si>
  <si>
    <t>Cuentas_por_cobrar</t>
  </si>
  <si>
    <t>Otros_activos_corrientes</t>
  </si>
  <si>
    <t>Total activos corrientes</t>
  </si>
  <si>
    <t>Total_activos_corrientes</t>
  </si>
  <si>
    <t>Activos no corrientes:</t>
  </si>
  <si>
    <t>P_P_E_Bruta</t>
  </si>
  <si>
    <t>Depreciación_acumulada</t>
  </si>
  <si>
    <t>P_P_E_Neta</t>
  </si>
  <si>
    <t>Inversiones financieras L/P</t>
  </si>
  <si>
    <t>Inversiones_financieras_L_P</t>
  </si>
  <si>
    <t>Otros_activos_no_corrientes</t>
  </si>
  <si>
    <t>Total activos no corrientes</t>
  </si>
  <si>
    <t>Total_activos_no_corrientes</t>
  </si>
  <si>
    <t xml:space="preserve">TOTAL ACTIVOS </t>
  </si>
  <si>
    <t>TOTAL_ACTIVOS</t>
  </si>
  <si>
    <t>PASIVO Y CAPITAL</t>
  </si>
  <si>
    <t>Pasivos corrientes :</t>
  </si>
  <si>
    <t>Obligaci_financi_cort_plaz</t>
  </si>
  <si>
    <t>Cuentas_pagar___Proveedores</t>
  </si>
  <si>
    <t>Otros_pasivos_corrientes</t>
  </si>
  <si>
    <t>Total pasivos corrientes</t>
  </si>
  <si>
    <t>Total_pasivos_corrientes</t>
  </si>
  <si>
    <t>Pasivos no corrientes:</t>
  </si>
  <si>
    <t>Obligaciones financieras L/P</t>
  </si>
  <si>
    <t>Obligaciones_financieras_L_P</t>
  </si>
  <si>
    <t>Otros_pasivos_no_corrientes</t>
  </si>
  <si>
    <t xml:space="preserve">Total pasivos no corrientes </t>
  </si>
  <si>
    <t>Total_pasivos_no_corrient</t>
  </si>
  <si>
    <t>Total pasivos</t>
  </si>
  <si>
    <t>Total_pasivos</t>
  </si>
  <si>
    <t>Capital :</t>
  </si>
  <si>
    <t>Reservas_</t>
  </si>
  <si>
    <t>Utilidades_retenidas</t>
  </si>
  <si>
    <t>Utilidad del ejercicio</t>
  </si>
  <si>
    <t>Total capital</t>
  </si>
  <si>
    <t>Total_capital</t>
  </si>
  <si>
    <t xml:space="preserve">TOTAL PASIVOS Y CAPITAL </t>
  </si>
  <si>
    <t>TOTAL_PASIVOS_Y_CAPITAL</t>
  </si>
  <si>
    <t>Estado de Resultado</t>
  </si>
  <si>
    <t>Ingresos_</t>
  </si>
  <si>
    <t>Costo_de_ventas</t>
  </si>
  <si>
    <t>Utilidad bruta en ventas (Margen bruto)</t>
  </si>
  <si>
    <t>Utilidad_bruta_en_ventas</t>
  </si>
  <si>
    <t>Gastos de Administración</t>
  </si>
  <si>
    <t>Gastos_de_administración</t>
  </si>
  <si>
    <t xml:space="preserve">Gastos de Venta </t>
  </si>
  <si>
    <t>Depreciaciones_y_amortizaciones</t>
  </si>
  <si>
    <t>Otros_ingresos___gastos_neto</t>
  </si>
  <si>
    <t>Utilidad antes de intereses e impuestos o utilidad operacional</t>
  </si>
  <si>
    <t>Gastos_financieros</t>
  </si>
  <si>
    <t>Participación 15% Utilidad trabajadores</t>
  </si>
  <si>
    <t xml:space="preserve">Impuestos </t>
  </si>
  <si>
    <t>Costo de Ventas</t>
  </si>
  <si>
    <t>Inventario Inicial</t>
  </si>
  <si>
    <t>Inv_Inicial</t>
  </si>
  <si>
    <t>Compras</t>
  </si>
  <si>
    <t>Inventario Final</t>
  </si>
  <si>
    <t>Inv_Final</t>
  </si>
  <si>
    <t>Otras cuentas de Costo de Venta</t>
  </si>
  <si>
    <t>Otros_Costos</t>
  </si>
  <si>
    <t>Total Costo de Venta</t>
  </si>
  <si>
    <t>Costos Fijos</t>
  </si>
  <si>
    <t>Costos Variables</t>
  </si>
  <si>
    <t>Producto A</t>
  </si>
  <si>
    <t>1. Determine el punto de equilibrio operativo, para cada ejercicio económico.</t>
  </si>
  <si>
    <t>X</t>
  </si>
  <si>
    <t>=</t>
  </si>
  <si>
    <t>CF</t>
  </si>
  <si>
    <t>PVU</t>
  </si>
  <si>
    <t>-</t>
  </si>
  <si>
    <t>CVU</t>
  </si>
  <si>
    <t>PVU.</t>
  </si>
  <si>
    <t>CVU.</t>
  </si>
  <si>
    <t>CVT</t>
  </si>
  <si>
    <t># UNIDADES VENDIDAS</t>
  </si>
  <si>
    <t>UNIDADES</t>
  </si>
  <si>
    <t>2. Determine el Margen de contribución, para cada ejercicio económico.</t>
  </si>
  <si>
    <t>MCU</t>
  </si>
  <si>
    <t>MCT</t>
  </si>
  <si>
    <t>CFT</t>
  </si>
  <si>
    <t>3. Determine la utilidad deseada, para cada ejercicio económico</t>
  </si>
  <si>
    <t>Planeación utilidades 25% de rendimiento sobre la inversión en activos</t>
  </si>
  <si>
    <t>Rendimiento sobre activos=</t>
  </si>
  <si>
    <t>Activos totales</t>
  </si>
  <si>
    <t>x</t>
  </si>
  <si>
    <t>rendimiento deseado</t>
  </si>
  <si>
    <t>CF    +      UD</t>
  </si>
  <si>
    <t>+</t>
  </si>
  <si>
    <t>ZONA DE GENERACIÓN DE RIQUEZA</t>
  </si>
  <si>
    <t>Nivel ventas</t>
  </si>
  <si>
    <t>TOTALES</t>
  </si>
  <si>
    <t>UNITARIOS</t>
  </si>
  <si>
    <t>NIVEL DE VENTAS 8644 UNIDADES</t>
  </si>
  <si>
    <t>1) Calcular la Contribución de las Utilidades</t>
  </si>
  <si>
    <t>a) Método Largo</t>
  </si>
  <si>
    <t>Plan Propuesto</t>
  </si>
  <si>
    <t>Ingresos por ventas</t>
  </si>
  <si>
    <t>Menos:</t>
  </si>
  <si>
    <t>Costos variables</t>
  </si>
  <si>
    <t>Costos Fijos*</t>
  </si>
  <si>
    <t>Utilidad sobre ventas</t>
  </si>
  <si>
    <t>Plan actual</t>
  </si>
  <si>
    <t>Utilidad Marginal en Ventas = Utilidad sobre ventas Plan Propuesto  -   Utilidad sobre ventas Plan Actual</t>
  </si>
  <si>
    <t>* Cálculo de los Costos Fijos:</t>
  </si>
  <si>
    <t>CUP = Costo Unitario Promedio</t>
  </si>
  <si>
    <t>CFU = Costo Fijo Unitario</t>
  </si>
  <si>
    <t>Costos fijos totales</t>
  </si>
  <si>
    <t>CVU = Costo Variable Unitario</t>
  </si>
  <si>
    <t>CUP = CFU + CVU ⇒ CFU = CUP − CUV</t>
  </si>
  <si>
    <t>CFT = Costos Fijos Totales</t>
  </si>
  <si>
    <t>CFU =</t>
  </si>
  <si>
    <t>Costos fijos unitarios</t>
  </si>
  <si>
    <t>CFT = CFU *UnidadesBA se ⇒</t>
  </si>
  <si>
    <t xml:space="preserve">CFT= </t>
  </si>
  <si>
    <t>*</t>
  </si>
  <si>
    <t>Costos promedio unitario=</t>
  </si>
  <si>
    <t>a) Método abreviado</t>
  </si>
  <si>
    <t>Costo variable unitario</t>
  </si>
  <si>
    <t>Calcular Utilidad Marginal en Ventas ( UMV ) por dos métodos:</t>
  </si>
  <si>
    <t>Costos variables totales</t>
  </si>
  <si>
    <t>1. Por unidad</t>
  </si>
  <si>
    <t>UMV = (PVU − CVU)ΔX</t>
  </si>
  <si>
    <t>UMV =</t>
  </si>
  <si>
    <t>2. Por monetario</t>
  </si>
  <si>
    <r>
      <t xml:space="preserve">UMV= </t>
    </r>
    <r>
      <rPr>
        <sz val="10"/>
        <rFont val="Arial"/>
        <family val="2"/>
      </rPr>
      <t xml:space="preserve">[ </t>
    </r>
    <r>
      <rPr>
        <sz val="10"/>
        <rFont val="Arial light"/>
      </rPr>
      <t>1 - (Cvt/Ventas)] Δ Ventas</t>
    </r>
  </si>
  <si>
    <t>2) Calcular el Costo de Inversión Marginal en Cuentas por Cobrar (CIMCC)</t>
  </si>
  <si>
    <t>a) Cálculo de la Inversión Promedio en Cuentas por Cobrar (IPCC) Plan presente y Plan Propuesto</t>
  </si>
  <si>
    <t>Inversión Promedio en Cuentas por Cobrar (IPCC) Plan presente</t>
  </si>
  <si>
    <t>IPCC= (Costo de Venta)/RCC  ⇒   IPCC = (CPU * X)  / (360/PMC)</t>
  </si>
  <si>
    <t>En donde Costo de Venta = CPU * X</t>
  </si>
  <si>
    <t>En donde Rotación cuentas por cobrar RCC = 360 / PCM</t>
  </si>
  <si>
    <t>/</t>
  </si>
  <si>
    <t>Inversión Promedio en Cuentas por Cobrar (IPCC) Plan propuesto</t>
  </si>
  <si>
    <t>Inversión Marginal en Cuentas por Cobrar (IMCC)   =  IPCC Plan Propuesto -   IPCC Plan Actual</t>
  </si>
  <si>
    <t>Inversión Marginal en Cuentas por Cobrar (IMCC)   =</t>
  </si>
  <si>
    <t>Costo de la Inversión marginal en Cuentas por Cobrar</t>
  </si>
  <si>
    <t>CIMCC = IMCC *  RendimientoRequerido</t>
  </si>
  <si>
    <t>Determinar Costo Cuentas Malas Marginales (CCMM)</t>
  </si>
  <si>
    <t>Plan propuesto</t>
  </si>
  <si>
    <t>CCMMpp = (  X *  Pvu ) * Nivel propuesto CCMM %</t>
  </si>
  <si>
    <t>a)</t>
  </si>
  <si>
    <t>CCMMpa = (  X *  Pvu ) * Nivel actual CCMM %</t>
  </si>
  <si>
    <t>b)</t>
  </si>
  <si>
    <t>Costo Cuentas Malas Marginales (CCMM)</t>
  </si>
  <si>
    <t>c) = a - b</t>
  </si>
  <si>
    <t>3) Costo del Descuento por pronto pago (CDPP)</t>
  </si>
  <si>
    <t>Costo del Descuento por pronto pago (CDPP)</t>
  </si>
  <si>
    <r>
      <rPr>
        <b/>
        <sz val="10"/>
        <rFont val="Arial light"/>
      </rPr>
      <t>CDPP =</t>
    </r>
    <r>
      <rPr>
        <sz val="10"/>
        <rFont val="Arial light"/>
      </rPr>
      <t xml:space="preserve"> ( %DsctoOfrecido ) ( QuienesaprovechanelDescuento )( Pvu *  X )</t>
    </r>
  </si>
  <si>
    <t>4) Decisión</t>
  </si>
  <si>
    <t>Utilidad Marginal en ventas</t>
  </si>
  <si>
    <t>UMV</t>
  </si>
  <si>
    <t>Mas:</t>
  </si>
  <si>
    <t>Costo de Inversión Marginal en Cuentas por Cobrar</t>
  </si>
  <si>
    <t>CIMCC</t>
  </si>
  <si>
    <t>Costo Cuentas Malas Marginales</t>
  </si>
  <si>
    <t>CCMM</t>
  </si>
  <si>
    <t>Costo del Descuento por pronto pago</t>
  </si>
  <si>
    <t>CDPP</t>
  </si>
  <si>
    <t>Utilidad Neta Marginal</t>
  </si>
  <si>
    <r>
      <rPr>
        <b/>
        <sz val="10"/>
        <rFont val="Arial light"/>
      </rPr>
      <t>Solución:</t>
    </r>
    <r>
      <rPr>
        <sz val="10"/>
        <rFont val="Arial light"/>
      </rPr>
      <t xml:space="preserve"> </t>
    </r>
  </si>
  <si>
    <t>Datos actuales</t>
  </si>
  <si>
    <r>
      <rPr>
        <b/>
        <sz val="8"/>
        <rFont val="Arial light"/>
      </rPr>
      <t>Cvu</t>
    </r>
    <r>
      <rPr>
        <sz val="8"/>
        <rFont val="Arial light"/>
      </rPr>
      <t xml:space="preserve"> </t>
    </r>
    <r>
      <rPr>
        <b/>
        <sz val="8"/>
        <rFont val="Arial light"/>
      </rPr>
      <t>(Costo variable unitario)</t>
    </r>
  </si>
  <si>
    <t>Datos</t>
  </si>
  <si>
    <r>
      <rPr>
        <b/>
        <sz val="8"/>
        <rFont val="Arial light"/>
      </rPr>
      <t>Cpu</t>
    </r>
    <r>
      <rPr>
        <sz val="8"/>
        <rFont val="Arial light"/>
      </rPr>
      <t xml:space="preserve"> </t>
    </r>
    <r>
      <rPr>
        <b/>
        <sz val="8"/>
        <rFont val="Arial light"/>
      </rPr>
      <t>(Costo promedio unitario)</t>
    </r>
  </si>
  <si>
    <r>
      <rPr>
        <b/>
        <sz val="8"/>
        <rFont val="Arial light"/>
      </rPr>
      <t>Pvu</t>
    </r>
    <r>
      <rPr>
        <sz val="8"/>
        <rFont val="Arial light"/>
      </rPr>
      <t xml:space="preserve"> </t>
    </r>
    <r>
      <rPr>
        <b/>
        <sz val="8"/>
        <rFont val="Arial light"/>
      </rPr>
      <t>(Precio de venta unitario)</t>
    </r>
  </si>
  <si>
    <t>Condiciones de crédito actuales</t>
  </si>
  <si>
    <t>% Descuento ofrecido</t>
  </si>
  <si>
    <t>Supuesto decisión corto plazo</t>
  </si>
  <si>
    <t>Quienes aprovechan el Descuento</t>
  </si>
  <si>
    <t>Nuevo plazo de pago</t>
  </si>
  <si>
    <t>Crecimiento en ventas</t>
  </si>
  <si>
    <t>PMC (Período medio de cobro)</t>
  </si>
  <si>
    <t>Ventas a crédito (unidades)</t>
  </si>
  <si>
    <t>Gastos cuentas incobrables %</t>
  </si>
  <si>
    <t>Rendimiento requerido por la inversión</t>
  </si>
  <si>
    <t>Incremento en ventas (unidades)</t>
  </si>
  <si>
    <r>
      <t xml:space="preserve">CVU + CFU = </t>
    </r>
    <r>
      <rPr>
        <b/>
        <sz val="11"/>
        <color theme="1"/>
        <rFont val="Calibri"/>
        <family val="2"/>
        <scheme val="minor"/>
      </rPr>
      <t>CPU</t>
    </r>
  </si>
  <si>
    <t>2022 ML</t>
  </si>
  <si>
    <t>Contribución de las Utilidades</t>
  </si>
  <si>
    <t>Costo de Inversión Marginal en Cuentas por Cobrar (CIMCC)</t>
  </si>
  <si>
    <t>Plan Presente</t>
  </si>
  <si>
    <t>Diferencia</t>
  </si>
  <si>
    <t>1. Debemos comparar la utilidad de ventas del plan presente frente a la utilidad en ventas del plan propuesto para cuantificar el incremento de utilidades. Este incremento deberá ser mayor siempre al costo del descuento por pronto pago.</t>
  </si>
  <si>
    <t>ADMINISTRACIÓN DE CUENTAS POR COBRAR</t>
  </si>
  <si>
    <t>Costo Fijo Unitario CFU a un nivel de ventas de 10199 UNIDADES</t>
  </si>
  <si>
    <t>Costo Fijo Unitario CFU a un nivel de ventas de 8644 UNIDADES</t>
  </si>
  <si>
    <t>Costo Promedio Unitario CPU a un nivel de ventas de 10199 UNIDADES</t>
  </si>
  <si>
    <t>Costo Promedio Unitario CPU a un nivel de ventas de 8644 UNIDADES</t>
  </si>
  <si>
    <t>ENFOQUE CONTABILIDAD GERENCIAL</t>
  </si>
  <si>
    <t>Análisis horizontal 2022 vs 2022 ML</t>
  </si>
  <si>
    <t>Análisis vertical 2022 ML</t>
  </si>
  <si>
    <t>Análisis vertical 2022</t>
  </si>
  <si>
    <t>Análisis vertical 2019</t>
  </si>
  <si>
    <t>Solución:</t>
  </si>
  <si>
    <t>Es importante la planeación de utilidades, les he planteado dos escenarios:</t>
  </si>
  <si>
    <t>Enfoquense en la barra verde, y comparamos lo histórico (año 2019) y como podríamos llegar a generar más utilidades con la planeación enfocado en nuestro ejemplo en la la administración de cuentas por cobrar, como decisión a corto plazo y bajo el supuesto de tener una utilidad antes de impuestos del 25% sobre activos.</t>
  </si>
  <si>
    <t>Punto de equilibrio</t>
  </si>
  <si>
    <t>No ganamos, no perdemos.!!!!</t>
  </si>
  <si>
    <t>Atentamente,</t>
  </si>
  <si>
    <t>Hans</t>
  </si>
  <si>
    <t>Estimado Mario Luis:</t>
  </si>
  <si>
    <t>Una vez que revise todas las condiciones, si acepto su oferta de realizar el descuento por pronto pago. Por favor enviar correo de aprobación.</t>
  </si>
  <si>
    <t>Loja, 28 de mayo 2022</t>
  </si>
  <si>
    <t>C./c. Accionista Mayoritario</t>
  </si>
  <si>
    <t>Histórico perdimos, porque no planeamos!!!!</t>
  </si>
  <si>
    <t>25% de rendimiento sobre activos</t>
  </si>
  <si>
    <t>Inversión en activos</t>
  </si>
  <si>
    <t>Utilidad antes de Impuestos UAI</t>
  </si>
  <si>
    <t>Rendimiento sobre activos</t>
  </si>
  <si>
    <t>COMPUFACIL COMPUTADORAS Y FACILIDADES CIA.LTDA.</t>
  </si>
  <si>
    <t>En este caso la UAI fue de $2,205,559,84 que significa 64,05% rendimiento sobre activos.</t>
  </si>
  <si>
    <t>Ganamos $1.774.511,28 como 25% sobre activos!!!!</t>
  </si>
  <si>
    <t>Ganamos $1,406,044,40 con la propuesta de Mario Luis!!!!</t>
  </si>
  <si>
    <t>2. Al realizar un descuento por pronto pago (CDPP), la Administración pretende bajar el periodo medio de cobro (PMC) de 45 días a 35 días, lo cual significa que la empresa tendrá menos dinero amortizado en cuentas por cobrar. En el ejemplo de la gráfica esa inversión amortizada en cuentas por cobrar se disminuyó en $31,024,53. Esa disminución representa dinero que la empresa obtendrá más pronto y lo cual medido a costo de oportunidad la empresa podría hacerlo trabajar al 13%.</t>
  </si>
  <si>
    <t>4. Así como la empresa subió su utilidad en ventas producto del descuento por pronto pago (CDPP), también debe cuantificar el costo que tendrá esta decisión. Para el ejemplo anterior esa decisión le cuesta $385,324,26 mil.</t>
  </si>
  <si>
    <t>3. La empresa al bajar el Periodo Medio de Cobro (PMC) tendrá la ventaja de bajar la morosidad e incobrabilidad, producto del descuento por pronto pago. En este caso la empresa dejará de registrar como gasto de deterioro de cartera $147,899,60.</t>
  </si>
  <si>
    <r>
      <rPr>
        <b/>
        <sz val="11"/>
        <color theme="1"/>
        <rFont val="Calibri"/>
        <family val="2"/>
        <scheme val="minor"/>
      </rPr>
      <t>*</t>
    </r>
    <r>
      <rPr>
        <sz val="11"/>
        <color theme="1"/>
        <rFont val="Calibri"/>
        <family val="2"/>
        <scheme val="minor"/>
      </rPr>
      <t xml:space="preserve"> El segundo a un nivel de ventas de 60207 des tomando en cuenta que Mario Luis (ML) pidió propuso a Hans, nuestro jefe financiero que se otorgue un 8% de descuento a nuestros clientes por pronto pago, de lo cual se desprende que el 80% de ellos van a tomar ese descuento, y que el periodo medio de cobro (PMC) bajará de 45 días a 35 días y la rotación de la cartera pasará de 8 veces a 10 veces.</t>
    </r>
  </si>
  <si>
    <r>
      <rPr>
        <b/>
        <sz val="11"/>
        <color theme="1"/>
        <rFont val="Calibri"/>
        <family val="2"/>
        <scheme val="minor"/>
      </rPr>
      <t>*</t>
    </r>
    <r>
      <rPr>
        <sz val="11"/>
        <color theme="1"/>
        <rFont val="Calibri"/>
        <family val="2"/>
        <scheme val="minor"/>
      </rPr>
      <t xml:space="preserve"> El primero a un nivel de ventas de 52354 unidades tomando en cuenta que José Santiago pidió la Utilidad antes de impuestos (UAI) del 25% de rendimiento deseado sobre la Inversión en activos totales.</t>
    </r>
  </si>
  <si>
    <t>Propuesta Mario Luis</t>
  </si>
  <si>
    <t>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</si>
</sst>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 &quot;$&quot;* #,##0.00_ ;_ &quot;$&quot;* \-#,##0.00_ ;_ &quot;$&quot;* &quot;-&quot;??_ ;_ @_ "/>
    <numFmt numFmtId="43" formatCode="_ * #,##0.00_ ;_ * \-#,##0.00_ ;_ * &quot;-&quot;??_ ;_ @_ "/>
    <numFmt numFmtId="164" formatCode="#,##0.00_ ;[Red]\-#,##0.00\ "/>
    <numFmt numFmtId="165" formatCode="#,###\ &quot;unds.&quot;"/>
    <numFmt numFmtId="166" formatCode="&quot;⇒ CFU = &quot;\ &quot;$&quot;#,###;\ #,###"/>
    <numFmt numFmtId="167" formatCode="&quot;⇒ CFT = &quot;\ &quot;$&quot;#,###;\ #,###"/>
    <numFmt numFmtId="168" formatCode="&quot;( &quot;\ &quot;$&quot;#,###;\ #,###"/>
    <numFmt numFmtId="169" formatCode="&quot;$&quot;\ #,###\ &quot;) &quot;"/>
    <numFmt numFmtId="170" formatCode="\ #.##\ &quot;veces&quot;"/>
    <numFmt numFmtId="171" formatCode="#,###\ &quot;días&quot;"/>
    <numFmt numFmtId="172" formatCode="\ #.####\ &quot;veces&quot;"/>
    <numFmt numFmtId="173" formatCode="&quot;$&quot;\ #,###\ &quot;(ahorro)&quot;"/>
    <numFmt numFmtId="174" formatCode="0%\ &quot;clientes probablemente aprovechen el descuento&quot;"/>
    <numFmt numFmtId="175" formatCode="#,###\ &quot;(unidades más de las normales)&quot;"/>
    <numFmt numFmtId="176" formatCode="0\ &quot;Unidades&quot;"/>
  </numFmts>
  <fonts count="28">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0"/>
      <color theme="1"/>
      <name val="Arial"/>
      <family val="2"/>
    </font>
    <font>
      <sz val="10"/>
      <color theme="1"/>
      <name val="Arial"/>
      <family val="2"/>
    </font>
    <font>
      <b/>
      <sz val="11"/>
      <color theme="1"/>
      <name val="Calibri"/>
      <family val="2"/>
    </font>
    <font>
      <b/>
      <sz val="14"/>
      <color theme="1"/>
      <name val="Calibri"/>
      <family val="2"/>
      <scheme val="minor"/>
    </font>
    <font>
      <b/>
      <sz val="14"/>
      <color theme="1"/>
      <name val="Calibri"/>
      <family val="2"/>
    </font>
    <font>
      <b/>
      <sz val="12"/>
      <color theme="1"/>
      <name val="Calibri"/>
      <family val="2"/>
    </font>
    <font>
      <sz val="12"/>
      <color theme="1"/>
      <name val="Calibri"/>
      <family val="2"/>
      <scheme val="minor"/>
    </font>
    <font>
      <b/>
      <sz val="12"/>
      <color theme="1"/>
      <name val="Calibri"/>
      <family val="2"/>
      <scheme val="minor"/>
    </font>
    <font>
      <sz val="11"/>
      <color theme="1"/>
      <name val="Calibri"/>
      <family val="2"/>
    </font>
    <font>
      <b/>
      <sz val="9"/>
      <color theme="1"/>
      <name val="Arial"/>
      <family val="2"/>
    </font>
    <font>
      <b/>
      <sz val="8"/>
      <color rgb="FF2D3B45"/>
      <name val="Lato"/>
      <family val="2"/>
    </font>
    <font>
      <b/>
      <sz val="8"/>
      <color theme="1"/>
      <name val="Calibri"/>
      <family val="2"/>
      <scheme val="minor"/>
    </font>
    <font>
      <b/>
      <sz val="10"/>
      <name val="Arial light"/>
    </font>
    <font>
      <sz val="10"/>
      <name val="Arial light"/>
    </font>
    <font>
      <sz val="10"/>
      <color rgb="FFFF0000"/>
      <name val="Arial light"/>
    </font>
    <font>
      <b/>
      <sz val="10"/>
      <color rgb="FF3333CC"/>
      <name val="Arial light"/>
    </font>
    <font>
      <sz val="10"/>
      <name val="Arial"/>
      <family val="2"/>
    </font>
    <font>
      <b/>
      <sz val="10"/>
      <color rgb="FFFF0000"/>
      <name val="Arial light"/>
    </font>
    <font>
      <b/>
      <sz val="8"/>
      <name val="Arial light"/>
    </font>
    <font>
      <sz val="8"/>
      <name val="Arial light"/>
    </font>
    <font>
      <sz val="8"/>
      <color rgb="FF3333CC"/>
      <name val="Arial light"/>
    </font>
    <font>
      <b/>
      <sz val="11"/>
      <color rgb="FFFF0000"/>
      <name val="Calibri"/>
      <family val="2"/>
      <scheme val="minor"/>
    </font>
    <font>
      <b/>
      <sz val="20"/>
      <color rgb="FF0070C0"/>
      <name val="Calibri"/>
      <family val="2"/>
      <scheme val="minor"/>
    </font>
    <font>
      <sz val="11"/>
      <name val="Calibri"/>
      <family val="2"/>
      <scheme val="minor"/>
    </font>
  </fonts>
  <fills count="3">
    <fill>
      <patternFill patternType="none"/>
    </fill>
    <fill>
      <patternFill patternType="gray125"/>
    </fill>
    <fill>
      <patternFill patternType="solid">
        <fgColor theme="0"/>
        <bgColor indexed="64"/>
      </patternFill>
    </fill>
  </fills>
  <borders count="18">
    <border>
      <left/>
      <right/>
      <top/>
      <bottom/>
      <diagonal/>
    </border>
    <border>
      <left/>
      <right/>
      <top style="medium">
        <color auto="1"/>
      </top>
      <bottom style="medium">
        <color auto="1"/>
      </bottom>
      <diagonal/>
    </border>
    <border>
      <left/>
      <right/>
      <top/>
      <bottom style="thin">
        <color indexed="64"/>
      </bottom>
      <diagonal/>
    </border>
    <border>
      <left/>
      <right/>
      <top style="thin">
        <color auto="1"/>
      </top>
      <bottom style="double">
        <color auto="1"/>
      </bottom>
      <diagonal/>
    </border>
    <border>
      <left/>
      <right/>
      <top style="thin">
        <color auto="1"/>
      </top>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bottom style="thin">
        <color auto="1"/>
      </bottom>
      <diagonal/>
    </border>
    <border>
      <left/>
      <right style="thin">
        <color auto="1"/>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medium">
        <color auto="1"/>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09">
    <xf numFmtId="0" fontId="0" fillId="0" borderId="0" xfId="0"/>
    <xf numFmtId="164" fontId="27" fillId="2" borderId="0" xfId="2" applyNumberFormat="1" applyFont="1" applyFill="1" applyAlignment="1" applyProtection="1">
      <alignment wrapText="1"/>
      <protection hidden="1"/>
    </xf>
    <xf numFmtId="0" fontId="6" fillId="2" borderId="0" xfId="0" applyFont="1" applyFill="1" applyAlignment="1" applyProtection="1">
      <alignment vertical="center" wrapText="1"/>
      <protection hidden="1"/>
    </xf>
    <xf numFmtId="0" fontId="0" fillId="2" borderId="0" xfId="0" applyFill="1" applyAlignment="1" applyProtection="1">
      <alignment wrapText="1"/>
      <protection hidden="1"/>
    </xf>
    <xf numFmtId="0" fontId="0" fillId="2" borderId="0" xfId="0" applyFill="1" applyAlignment="1">
      <alignment wrapText="1"/>
    </xf>
    <xf numFmtId="0" fontId="3" fillId="2" borderId="0" xfId="0" applyFont="1" applyFill="1" applyAlignment="1" applyProtection="1">
      <alignment wrapText="1"/>
      <protection hidden="1"/>
    </xf>
    <xf numFmtId="0" fontId="3" fillId="2" borderId="1" xfId="0" applyFont="1" applyFill="1" applyBorder="1" applyAlignment="1" applyProtection="1">
      <alignment horizontal="center" vertical="center" wrapText="1"/>
      <protection hidden="1"/>
    </xf>
    <xf numFmtId="0" fontId="0" fillId="2" borderId="0" xfId="0" applyFill="1" applyProtection="1">
      <protection hidden="1"/>
    </xf>
    <xf numFmtId="164" fontId="0" fillId="2" borderId="0" xfId="2" applyNumberFormat="1" applyFont="1" applyFill="1" applyAlignment="1" applyProtection="1">
      <alignment wrapText="1"/>
      <protection hidden="1"/>
    </xf>
    <xf numFmtId="164" fontId="0" fillId="2" borderId="0" xfId="0" applyNumberFormat="1" applyFill="1" applyAlignment="1">
      <alignment wrapText="1"/>
    </xf>
    <xf numFmtId="164" fontId="0" fillId="2" borderId="0" xfId="2" applyNumberFormat="1" applyFont="1" applyFill="1" applyAlignment="1">
      <alignment wrapText="1"/>
    </xf>
    <xf numFmtId="164" fontId="3" fillId="2" borderId="4" xfId="2" applyNumberFormat="1" applyFont="1" applyFill="1" applyBorder="1" applyAlignment="1" applyProtection="1">
      <alignment wrapText="1"/>
      <protection hidden="1"/>
    </xf>
    <xf numFmtId="0" fontId="9" fillId="2" borderId="0" xfId="0" applyFont="1" applyFill="1" applyAlignment="1" applyProtection="1">
      <alignment vertical="center" wrapText="1"/>
      <protection hidden="1"/>
    </xf>
    <xf numFmtId="0" fontId="10" fillId="2" borderId="0" xfId="0" applyFont="1" applyFill="1" applyProtection="1">
      <protection hidden="1"/>
    </xf>
    <xf numFmtId="164" fontId="11" fillId="2" borderId="3" xfId="2" applyNumberFormat="1" applyFont="1" applyFill="1" applyBorder="1" applyAlignment="1" applyProtection="1">
      <alignment wrapText="1"/>
      <protection hidden="1"/>
    </xf>
    <xf numFmtId="0" fontId="12" fillId="2" borderId="0" xfId="0" applyFont="1" applyFill="1" applyAlignment="1" applyProtection="1">
      <alignment vertical="center" wrapText="1"/>
      <protection hidden="1"/>
    </xf>
    <xf numFmtId="164" fontId="0" fillId="2" borderId="0" xfId="0" applyNumberFormat="1" applyFill="1" applyAlignment="1" applyProtection="1">
      <alignment wrapText="1"/>
      <protection hidden="1"/>
    </xf>
    <xf numFmtId="0" fontId="15" fillId="2" borderId="6" xfId="0" applyFont="1" applyFill="1" applyBorder="1" applyAlignment="1">
      <alignment horizontal="center" vertical="center"/>
    </xf>
    <xf numFmtId="0" fontId="3" fillId="2" borderId="6" xfId="0" applyFont="1" applyFill="1" applyBorder="1" applyAlignment="1">
      <alignment horizontal="center"/>
    </xf>
    <xf numFmtId="0" fontId="3" fillId="2" borderId="6" xfId="0" applyFont="1" applyFill="1" applyBorder="1" applyAlignment="1">
      <alignment horizontal="center" wrapText="1"/>
    </xf>
    <xf numFmtId="44" fontId="0" fillId="2" borderId="8" xfId="2" applyFont="1" applyFill="1" applyBorder="1" applyAlignment="1">
      <alignment wrapText="1"/>
    </xf>
    <xf numFmtId="44" fontId="0" fillId="2" borderId="7" xfId="2" applyFont="1" applyFill="1" applyBorder="1" applyAlignment="1">
      <alignment wrapText="1"/>
    </xf>
    <xf numFmtId="44" fontId="0" fillId="2" borderId="2" xfId="2" applyFont="1" applyFill="1" applyBorder="1" applyAlignment="1">
      <alignment wrapText="1"/>
    </xf>
    <xf numFmtId="44" fontId="0" fillId="2" borderId="0" xfId="0" applyNumberFormat="1" applyFill="1" applyBorder="1" applyAlignment="1">
      <alignment wrapText="1"/>
    </xf>
    <xf numFmtId="0" fontId="0" fillId="2" borderId="0" xfId="0" applyFill="1" applyBorder="1" applyAlignment="1">
      <alignment wrapText="1"/>
    </xf>
    <xf numFmtId="0" fontId="0" fillId="2" borderId="10" xfId="0" applyFill="1" applyBorder="1" applyAlignment="1">
      <alignment wrapText="1"/>
    </xf>
    <xf numFmtId="44" fontId="0" fillId="2" borderId="13" xfId="2" applyFont="1" applyFill="1" applyBorder="1" applyAlignment="1">
      <alignment wrapText="1"/>
    </xf>
    <xf numFmtId="0" fontId="13" fillId="2" borderId="0" xfId="0" applyFont="1" applyFill="1" applyAlignment="1" applyProtection="1">
      <alignment wrapText="1"/>
      <protection hidden="1"/>
    </xf>
    <xf numFmtId="1" fontId="0" fillId="2" borderId="2" xfId="0" applyNumberFormat="1" applyFill="1" applyBorder="1" applyAlignment="1">
      <alignment wrapText="1"/>
    </xf>
    <xf numFmtId="0" fontId="0" fillId="2" borderId="2" xfId="0" applyFill="1" applyBorder="1" applyAlignment="1">
      <alignment wrapText="1"/>
    </xf>
    <xf numFmtId="0" fontId="0" fillId="2" borderId="9" xfId="0" applyFill="1" applyBorder="1" applyAlignment="1">
      <alignment wrapText="1"/>
    </xf>
    <xf numFmtId="1" fontId="0" fillId="2" borderId="13" xfId="0" applyNumberFormat="1" applyFill="1" applyBorder="1" applyAlignment="1">
      <alignment wrapText="1"/>
    </xf>
    <xf numFmtId="164" fontId="2" fillId="2" borderId="0" xfId="2" applyNumberFormat="1" applyFont="1" applyFill="1" applyAlignment="1" applyProtection="1">
      <alignment wrapText="1"/>
      <protection hidden="1"/>
    </xf>
    <xf numFmtId="0" fontId="0" fillId="2" borderId="0" xfId="0" applyFill="1" applyBorder="1" applyAlignment="1"/>
    <xf numFmtId="0" fontId="0" fillId="2" borderId="5" xfId="0" applyFill="1" applyBorder="1" applyAlignment="1"/>
    <xf numFmtId="44" fontId="0" fillId="2" borderId="2" xfId="0" applyNumberFormat="1" applyFill="1" applyBorder="1" applyAlignment="1">
      <alignment wrapText="1"/>
    </xf>
    <xf numFmtId="44" fontId="3" fillId="2" borderId="9" xfId="0" applyNumberFormat="1" applyFont="1" applyFill="1" applyBorder="1" applyAlignment="1">
      <alignment wrapText="1"/>
    </xf>
    <xf numFmtId="44" fontId="0" fillId="2" borderId="13" xfId="0" applyNumberFormat="1" applyFill="1" applyBorder="1" applyAlignment="1">
      <alignment wrapText="1"/>
    </xf>
    <xf numFmtId="0" fontId="4" fillId="2" borderId="0" xfId="0" applyFont="1" applyFill="1" applyAlignment="1" applyProtection="1">
      <alignment wrapText="1"/>
      <protection hidden="1"/>
    </xf>
    <xf numFmtId="164" fontId="3" fillId="2" borderId="4" xfId="2" applyNumberFormat="1" applyFont="1" applyFill="1" applyBorder="1" applyAlignment="1" applyProtection="1">
      <alignment horizontal="right" vertical="center" wrapText="1"/>
      <protection hidden="1"/>
    </xf>
    <xf numFmtId="44" fontId="0" fillId="2" borderId="8" xfId="2" applyFont="1" applyFill="1" applyBorder="1"/>
    <xf numFmtId="164" fontId="0" fillId="2" borderId="0" xfId="2" applyNumberFormat="1" applyFont="1" applyFill="1" applyAlignment="1" applyProtection="1">
      <alignment horizontal="right" vertical="center" wrapText="1"/>
      <protection hidden="1"/>
    </xf>
    <xf numFmtId="164" fontId="2" fillId="2" borderId="0" xfId="2" applyNumberFormat="1" applyFont="1" applyFill="1" applyAlignment="1" applyProtection="1">
      <alignment horizontal="right" vertical="center" wrapText="1"/>
      <protection hidden="1"/>
    </xf>
    <xf numFmtId="0" fontId="5" fillId="2" borderId="0" xfId="0" applyFont="1" applyFill="1" applyAlignment="1" applyProtection="1">
      <alignment wrapText="1"/>
      <protection hidden="1"/>
    </xf>
    <xf numFmtId="164" fontId="3" fillId="2" borderId="3" xfId="0" applyNumberFormat="1" applyFont="1" applyFill="1" applyBorder="1" applyAlignment="1" applyProtection="1">
      <alignment horizontal="right" vertical="center" wrapText="1"/>
      <protection hidden="1"/>
    </xf>
    <xf numFmtId="44" fontId="3" fillId="2" borderId="14" xfId="2" applyFont="1" applyFill="1" applyBorder="1" applyAlignment="1">
      <alignment wrapText="1"/>
    </xf>
    <xf numFmtId="44" fontId="3" fillId="2" borderId="16" xfId="2" applyFont="1" applyFill="1" applyBorder="1" applyAlignment="1">
      <alignment wrapText="1"/>
    </xf>
    <xf numFmtId="44" fontId="0" fillId="2" borderId="15" xfId="2" applyFont="1" applyFill="1" applyBorder="1" applyAlignment="1">
      <alignment wrapText="1"/>
    </xf>
    <xf numFmtId="2" fontId="0" fillId="2" borderId="0" xfId="0" applyNumberFormat="1" applyFill="1" applyAlignment="1">
      <alignment wrapText="1"/>
    </xf>
    <xf numFmtId="0" fontId="3" fillId="2" borderId="0" xfId="0" applyFont="1" applyFill="1" applyAlignment="1">
      <alignment wrapText="1"/>
    </xf>
    <xf numFmtId="44" fontId="0" fillId="2" borderId="0" xfId="2" applyFont="1" applyFill="1" applyAlignment="1">
      <alignment wrapText="1"/>
    </xf>
    <xf numFmtId="0" fontId="0" fillId="2" borderId="0" xfId="0" applyFill="1" applyAlignment="1"/>
    <xf numFmtId="164" fontId="0" fillId="2" borderId="2" xfId="0" applyNumberFormat="1" applyFill="1" applyBorder="1" applyAlignment="1">
      <alignment wrapText="1"/>
    </xf>
    <xf numFmtId="164" fontId="3" fillId="2" borderId="0" xfId="0" applyNumberFormat="1" applyFont="1" applyFill="1" applyAlignment="1">
      <alignment wrapText="1"/>
    </xf>
    <xf numFmtId="44" fontId="3" fillId="2" borderId="0" xfId="2" applyFont="1" applyFill="1" applyAlignment="1">
      <alignment wrapText="1"/>
    </xf>
    <xf numFmtId="44" fontId="0" fillId="2" borderId="0" xfId="0" applyNumberFormat="1" applyFill="1" applyAlignment="1">
      <alignment wrapText="1"/>
    </xf>
    <xf numFmtId="1" fontId="0" fillId="2" borderId="0" xfId="0" applyNumberFormat="1" applyFill="1" applyAlignment="1">
      <alignment wrapText="1"/>
    </xf>
    <xf numFmtId="0" fontId="3" fillId="2" borderId="5" xfId="0" applyFont="1" applyFill="1" applyBorder="1" applyAlignment="1" applyProtection="1">
      <alignment wrapText="1"/>
      <protection hidden="1"/>
    </xf>
    <xf numFmtId="164" fontId="3" fillId="2" borderId="0" xfId="2" applyNumberFormat="1" applyFont="1" applyFill="1" applyBorder="1" applyAlignment="1" applyProtection="1">
      <alignment horizontal="right" vertical="center" wrapText="1"/>
      <protection hidden="1"/>
    </xf>
    <xf numFmtId="164" fontId="1" fillId="2" borderId="0" xfId="2" applyNumberFormat="1" applyFont="1" applyFill="1" applyBorder="1" applyAlignment="1" applyProtection="1">
      <alignment horizontal="right" vertical="center" wrapText="1"/>
      <protection hidden="1"/>
    </xf>
    <xf numFmtId="164" fontId="3" fillId="2" borderId="3" xfId="2" applyNumberFormat="1" applyFont="1" applyFill="1" applyBorder="1" applyAlignment="1" applyProtection="1">
      <alignment horizontal="right" vertical="center" wrapText="1"/>
      <protection hidden="1"/>
    </xf>
    <xf numFmtId="0" fontId="14" fillId="2" borderId="0" xfId="0" applyFont="1" applyFill="1" applyAlignment="1">
      <alignment horizontal="left" vertical="center" indent="1"/>
    </xf>
    <xf numFmtId="44" fontId="0" fillId="2" borderId="0" xfId="0" applyNumberFormat="1" applyFont="1" applyFill="1" applyAlignment="1">
      <alignment wrapText="1"/>
    </xf>
    <xf numFmtId="0" fontId="0" fillId="2" borderId="0" xfId="0" applyFont="1" applyFill="1" applyAlignment="1">
      <alignment wrapText="1"/>
    </xf>
    <xf numFmtId="0" fontId="3" fillId="2" borderId="0" xfId="0" applyFont="1" applyFill="1" applyAlignment="1">
      <alignment horizontal="center" wrapText="1"/>
    </xf>
    <xf numFmtId="164" fontId="0" fillId="2" borderId="0" xfId="0" applyNumberFormat="1" applyFill="1" applyAlignment="1"/>
    <xf numFmtId="9" fontId="0" fillId="2" borderId="0" xfId="0" applyNumberFormat="1" applyFill="1" applyAlignment="1"/>
    <xf numFmtId="44" fontId="0" fillId="2" borderId="0" xfId="2" applyFont="1" applyFill="1" applyAlignment="1"/>
    <xf numFmtId="2" fontId="3" fillId="2" borderId="2" xfId="0" applyNumberFormat="1" applyFont="1" applyFill="1" applyBorder="1" applyAlignment="1">
      <alignment wrapText="1"/>
    </xf>
    <xf numFmtId="0" fontId="3" fillId="2" borderId="2" xfId="0" applyFont="1" applyFill="1" applyBorder="1" applyAlignment="1">
      <alignment horizontal="center" vertical="center" wrapText="1"/>
    </xf>
    <xf numFmtId="44" fontId="3" fillId="2" borderId="2" xfId="0" applyNumberFormat="1" applyFont="1" applyFill="1" applyBorder="1" applyAlignment="1">
      <alignment wrapText="1"/>
    </xf>
    <xf numFmtId="44" fontId="3" fillId="2" borderId="0" xfId="0" applyNumberFormat="1" applyFont="1" applyFill="1" applyAlignment="1">
      <alignment wrapText="1"/>
    </xf>
    <xf numFmtId="44" fontId="3" fillId="2" borderId="2" xfId="0" applyNumberFormat="1" applyFont="1" applyFill="1" applyBorder="1" applyAlignment="1">
      <alignment horizontal="center" vertical="center" wrapText="1"/>
    </xf>
    <xf numFmtId="176" fontId="0" fillId="2" borderId="0" xfId="0" applyNumberFormat="1" applyFill="1"/>
    <xf numFmtId="176" fontId="3" fillId="2" borderId="0" xfId="0" applyNumberFormat="1" applyFont="1" applyFill="1" applyAlignment="1">
      <alignment wrapText="1"/>
    </xf>
    <xf numFmtId="0" fontId="0" fillId="2" borderId="0" xfId="0" applyFill="1"/>
    <xf numFmtId="9" fontId="0" fillId="2" borderId="0" xfId="3" applyFont="1" applyFill="1" applyAlignment="1" applyProtection="1">
      <alignment horizontal="center" wrapText="1"/>
      <protection hidden="1"/>
    </xf>
    <xf numFmtId="9" fontId="3" fillId="2" borderId="4" xfId="3" applyFont="1" applyFill="1" applyBorder="1" applyAlignment="1" applyProtection="1">
      <alignment horizontal="center" wrapText="1"/>
      <protection hidden="1"/>
    </xf>
    <xf numFmtId="9" fontId="3" fillId="2" borderId="4" xfId="3" applyFont="1" applyFill="1" applyBorder="1" applyAlignment="1" applyProtection="1">
      <alignment horizontal="center" vertical="center" wrapText="1"/>
      <protection hidden="1"/>
    </xf>
    <xf numFmtId="9" fontId="0" fillId="2" borderId="0" xfId="3" applyFont="1" applyFill="1" applyAlignment="1" applyProtection="1">
      <alignment horizontal="center" vertical="center" wrapText="1"/>
      <protection hidden="1"/>
    </xf>
    <xf numFmtId="9" fontId="25" fillId="2" borderId="3" xfId="3" applyFont="1" applyFill="1" applyBorder="1" applyAlignment="1" applyProtection="1">
      <alignment horizontal="center" vertical="center" wrapText="1"/>
      <protection hidden="1"/>
    </xf>
    <xf numFmtId="9" fontId="3" fillId="2" borderId="3" xfId="3" applyFont="1" applyFill="1" applyBorder="1" applyAlignment="1" applyProtection="1">
      <alignment horizontal="center" vertical="center" wrapText="1"/>
      <protection hidden="1"/>
    </xf>
    <xf numFmtId="0" fontId="3" fillId="2" borderId="0" xfId="0" applyFont="1" applyFill="1"/>
    <xf numFmtId="0" fontId="0" fillId="2" borderId="0" xfId="0" applyFill="1" applyAlignment="1">
      <alignment horizontal="center" wrapText="1"/>
    </xf>
    <xf numFmtId="164" fontId="3" fillId="2" borderId="11" xfId="0" applyNumberFormat="1" applyFont="1" applyFill="1" applyBorder="1" applyAlignment="1">
      <alignment wrapText="1"/>
    </xf>
    <xf numFmtId="0" fontId="3" fillId="2" borderId="4" xfId="0" applyFont="1" applyFill="1" applyBorder="1" applyAlignment="1"/>
    <xf numFmtId="0" fontId="0" fillId="2" borderId="4" xfId="0" applyFill="1" applyBorder="1" applyAlignment="1">
      <alignment wrapText="1"/>
    </xf>
    <xf numFmtId="0" fontId="0" fillId="2" borderId="12" xfId="0" applyFill="1" applyBorder="1" applyAlignment="1">
      <alignment wrapText="1"/>
    </xf>
    <xf numFmtId="164" fontId="3" fillId="2" borderId="5" xfId="0" applyNumberFormat="1" applyFont="1" applyFill="1" applyBorder="1" applyAlignment="1">
      <alignment wrapText="1"/>
    </xf>
    <xf numFmtId="0" fontId="3" fillId="2" borderId="0" xfId="0" applyFont="1" applyFill="1" applyBorder="1" applyAlignment="1"/>
    <xf numFmtId="10" fontId="3" fillId="2" borderId="13" xfId="3" applyNumberFormat="1" applyFont="1" applyFill="1" applyBorder="1" applyAlignment="1">
      <alignment wrapText="1"/>
    </xf>
    <xf numFmtId="0" fontId="3" fillId="2" borderId="2" xfId="0" applyFont="1" applyFill="1" applyBorder="1" applyAlignment="1"/>
    <xf numFmtId="0" fontId="14" fillId="2" borderId="0" xfId="0" applyFont="1" applyFill="1"/>
    <xf numFmtId="0" fontId="16" fillId="2" borderId="0" xfId="0" applyFont="1" applyFill="1" applyAlignment="1">
      <alignment horizontal="left" vertical="center" readingOrder="1"/>
    </xf>
    <xf numFmtId="0" fontId="17" fillId="2" borderId="0" xfId="0" applyFont="1" applyFill="1" applyAlignment="1">
      <alignment vertical="center" wrapText="1"/>
    </xf>
    <xf numFmtId="0" fontId="17" fillId="2" borderId="0" xfId="0" applyFont="1" applyFill="1" applyAlignment="1">
      <alignment vertical="center"/>
    </xf>
    <xf numFmtId="0" fontId="17" fillId="2" borderId="0" xfId="0" applyFont="1" applyFill="1" applyAlignment="1">
      <alignment horizontal="center" vertical="center"/>
    </xf>
    <xf numFmtId="0" fontId="23" fillId="2" borderId="6" xfId="0" applyFont="1" applyFill="1" applyBorder="1" applyAlignment="1">
      <alignment vertical="center"/>
    </xf>
    <xf numFmtId="44" fontId="24" fillId="2" borderId="6" xfId="2" applyFont="1" applyFill="1" applyBorder="1" applyAlignment="1">
      <alignment vertical="center"/>
    </xf>
    <xf numFmtId="0" fontId="16" fillId="2" borderId="0" xfId="0" applyFont="1" applyFill="1" applyAlignment="1">
      <alignment vertical="center"/>
    </xf>
    <xf numFmtId="0" fontId="22" fillId="2" borderId="6" xfId="0" applyFont="1" applyFill="1" applyBorder="1" applyAlignment="1">
      <alignment vertical="center"/>
    </xf>
    <xf numFmtId="9" fontId="24" fillId="2" borderId="6" xfId="0" applyNumberFormat="1" applyFont="1" applyFill="1" applyBorder="1" applyAlignment="1">
      <alignment vertical="center"/>
    </xf>
    <xf numFmtId="0" fontId="23" fillId="2" borderId="0" xfId="0" applyFont="1" applyFill="1" applyAlignment="1">
      <alignment horizontal="center" vertical="center"/>
    </xf>
    <xf numFmtId="174" fontId="24" fillId="2" borderId="6" xfId="0" applyNumberFormat="1" applyFont="1" applyFill="1" applyBorder="1" applyAlignment="1">
      <alignment horizontal="left" vertical="center"/>
    </xf>
    <xf numFmtId="0" fontId="23" fillId="2" borderId="0" xfId="0" applyFont="1" applyFill="1" applyAlignment="1">
      <alignment vertical="center"/>
    </xf>
    <xf numFmtId="171" fontId="24" fillId="2" borderId="6" xfId="0" applyNumberFormat="1" applyFont="1" applyFill="1" applyBorder="1" applyAlignment="1">
      <alignment vertical="center"/>
    </xf>
    <xf numFmtId="9" fontId="24" fillId="2" borderId="6" xfId="0" applyNumberFormat="1" applyFont="1" applyFill="1" applyBorder="1" applyAlignment="1">
      <alignment horizontal="left" vertical="center"/>
    </xf>
    <xf numFmtId="171" fontId="24" fillId="2" borderId="6" xfId="0" applyNumberFormat="1" applyFont="1" applyFill="1" applyBorder="1" applyAlignment="1">
      <alignment horizontal="left" vertical="center"/>
    </xf>
    <xf numFmtId="165" fontId="24" fillId="2" borderId="6" xfId="0" applyNumberFormat="1" applyFont="1" applyFill="1" applyBorder="1" applyAlignment="1">
      <alignment vertical="center"/>
    </xf>
    <xf numFmtId="10" fontId="24" fillId="2" borderId="6" xfId="2" applyNumberFormat="1" applyFont="1" applyFill="1" applyBorder="1" applyAlignment="1">
      <alignment horizontal="left" vertical="center"/>
    </xf>
    <xf numFmtId="10" fontId="23" fillId="2" borderId="0" xfId="2" applyNumberFormat="1" applyFont="1" applyFill="1" applyAlignment="1">
      <alignment horizontal="left" vertical="center"/>
    </xf>
    <xf numFmtId="10" fontId="24" fillId="2" borderId="6" xfId="0" applyNumberFormat="1" applyFont="1" applyFill="1" applyBorder="1" applyAlignment="1">
      <alignment vertical="center"/>
    </xf>
    <xf numFmtId="9" fontId="23" fillId="2" borderId="0" xfId="0" applyNumberFormat="1" applyFont="1" applyFill="1" applyAlignment="1">
      <alignment vertical="center"/>
    </xf>
    <xf numFmtId="0" fontId="23" fillId="2" borderId="0" xfId="0" applyFont="1" applyFill="1" applyAlignment="1">
      <alignment vertical="center" textRotation="90" wrapText="1"/>
    </xf>
    <xf numFmtId="175" fontId="24" fillId="2" borderId="6" xfId="0" applyNumberFormat="1" applyFont="1" applyFill="1" applyBorder="1" applyAlignment="1">
      <alignment horizontal="left" vertical="center"/>
    </xf>
    <xf numFmtId="165" fontId="17" fillId="2" borderId="0" xfId="0" applyNumberFormat="1" applyFont="1" applyFill="1" applyAlignment="1">
      <alignment vertical="center"/>
    </xf>
    <xf numFmtId="44" fontId="17" fillId="2" borderId="0" xfId="0" applyNumberFormat="1" applyFont="1" applyFill="1" applyAlignment="1">
      <alignment vertical="center"/>
    </xf>
    <xf numFmtId="44" fontId="17" fillId="2" borderId="0" xfId="2" applyFont="1" applyFill="1" applyAlignment="1">
      <alignment vertical="center"/>
    </xf>
    <xf numFmtId="44" fontId="17" fillId="2" borderId="3" xfId="2" applyFont="1" applyFill="1" applyBorder="1" applyAlignment="1">
      <alignment vertical="center"/>
    </xf>
    <xf numFmtId="10" fontId="17" fillId="2" borderId="0" xfId="3" applyNumberFormat="1" applyFont="1" applyFill="1" applyAlignment="1">
      <alignment horizontal="left" vertical="center"/>
    </xf>
    <xf numFmtId="44" fontId="17" fillId="2" borderId="0" xfId="2" applyFont="1" applyFill="1" applyAlignment="1">
      <alignment horizontal="left" vertical="center"/>
    </xf>
    <xf numFmtId="0" fontId="17" fillId="2" borderId="0" xfId="0" applyFont="1" applyFill="1" applyAlignment="1">
      <alignment horizontal="left" vertical="center"/>
    </xf>
    <xf numFmtId="44" fontId="17" fillId="2" borderId="0" xfId="2" applyFont="1" applyFill="1" applyBorder="1" applyAlignment="1">
      <alignment vertical="center"/>
    </xf>
    <xf numFmtId="0" fontId="16" fillId="2" borderId="0" xfId="0" applyFont="1" applyFill="1" applyAlignment="1">
      <alignment horizontal="center" vertical="center"/>
    </xf>
    <xf numFmtId="44" fontId="16" fillId="2" borderId="0" xfId="2" applyFont="1" applyFill="1" applyAlignment="1">
      <alignment vertical="center"/>
    </xf>
    <xf numFmtId="0" fontId="18" fillId="2" borderId="0" xfId="0" applyFont="1" applyFill="1" applyAlignment="1">
      <alignment vertical="center"/>
    </xf>
    <xf numFmtId="2" fontId="17" fillId="2" borderId="0" xfId="2" applyNumberFormat="1" applyFont="1" applyFill="1" applyAlignment="1">
      <alignment vertical="center"/>
    </xf>
    <xf numFmtId="2" fontId="17" fillId="2" borderId="0" xfId="0" applyNumberFormat="1" applyFont="1" applyFill="1" applyAlignment="1">
      <alignment vertical="center"/>
    </xf>
    <xf numFmtId="166" fontId="17" fillId="2" borderId="0" xfId="2" applyNumberFormat="1" applyFont="1" applyFill="1" applyAlignment="1">
      <alignment vertical="center"/>
    </xf>
    <xf numFmtId="167" fontId="17" fillId="2" borderId="0" xfId="2" applyNumberFormat="1" applyFont="1" applyFill="1" applyAlignment="1">
      <alignment vertical="center"/>
    </xf>
    <xf numFmtId="0" fontId="19" fillId="2" borderId="0" xfId="0" applyFont="1" applyFill="1" applyAlignment="1">
      <alignment vertical="center"/>
    </xf>
    <xf numFmtId="168" fontId="17" fillId="2" borderId="0" xfId="0" applyNumberFormat="1" applyFont="1" applyFill="1" applyAlignment="1">
      <alignment vertical="center"/>
    </xf>
    <xf numFmtId="169" fontId="17" fillId="2" borderId="0" xfId="0" applyNumberFormat="1" applyFont="1" applyFill="1" applyAlignment="1">
      <alignment vertical="center"/>
    </xf>
    <xf numFmtId="0" fontId="17" fillId="2" borderId="5" xfId="0" applyFont="1" applyFill="1" applyBorder="1" applyAlignment="1">
      <alignment vertical="center"/>
    </xf>
    <xf numFmtId="44" fontId="17" fillId="2" borderId="9" xfId="0" applyNumberFormat="1" applyFont="1" applyFill="1" applyBorder="1" applyAlignment="1">
      <alignment vertical="center"/>
    </xf>
    <xf numFmtId="44" fontId="17" fillId="2" borderId="10" xfId="0" applyNumberFormat="1" applyFont="1" applyFill="1" applyBorder="1" applyAlignment="1">
      <alignment vertical="center"/>
    </xf>
    <xf numFmtId="44" fontId="17" fillId="2" borderId="2" xfId="0" applyNumberFormat="1" applyFont="1" applyFill="1" applyBorder="1" applyAlignment="1">
      <alignment vertical="center"/>
    </xf>
    <xf numFmtId="44" fontId="17" fillId="2" borderId="0" xfId="2" applyFont="1" applyFill="1" applyAlignment="1">
      <alignment horizontal="center" vertical="center"/>
    </xf>
    <xf numFmtId="171" fontId="17" fillId="2" borderId="0" xfId="0" applyNumberFormat="1" applyFont="1" applyFill="1" applyAlignment="1">
      <alignment vertical="center"/>
    </xf>
    <xf numFmtId="170" fontId="17" fillId="2" borderId="0" xfId="2" applyNumberFormat="1" applyFont="1" applyFill="1" applyAlignment="1">
      <alignment vertical="center"/>
    </xf>
    <xf numFmtId="170" fontId="17" fillId="2" borderId="0" xfId="0" applyNumberFormat="1" applyFont="1" applyFill="1" applyAlignment="1">
      <alignment vertical="center"/>
    </xf>
    <xf numFmtId="172" fontId="17" fillId="2" borderId="0" xfId="2" applyNumberFormat="1" applyFont="1" applyFill="1" applyAlignment="1">
      <alignment vertical="center"/>
    </xf>
    <xf numFmtId="9" fontId="17" fillId="2" borderId="0" xfId="0" applyNumberFormat="1" applyFont="1" applyFill="1" applyAlignment="1">
      <alignment vertical="center"/>
    </xf>
    <xf numFmtId="173" fontId="17" fillId="2" borderId="0" xfId="2" applyNumberFormat="1" applyFont="1" applyFill="1" applyAlignment="1">
      <alignment vertical="center"/>
    </xf>
    <xf numFmtId="10" fontId="17" fillId="2" borderId="0" xfId="2" applyNumberFormat="1" applyFont="1" applyFill="1" applyAlignment="1">
      <alignment vertical="center"/>
    </xf>
    <xf numFmtId="44" fontId="19" fillId="2" borderId="0" xfId="2" applyFont="1" applyFill="1" applyAlignment="1">
      <alignment vertical="center"/>
    </xf>
    <xf numFmtId="44" fontId="16" fillId="2" borderId="0" xfId="2" applyFont="1" applyFill="1" applyAlignment="1">
      <alignment horizontal="center" vertical="center"/>
    </xf>
    <xf numFmtId="44" fontId="21" fillId="2" borderId="0" xfId="2" applyFont="1" applyFill="1" applyAlignment="1">
      <alignment vertical="center"/>
    </xf>
    <xf numFmtId="0" fontId="17" fillId="2" borderId="0" xfId="0" applyFont="1" applyFill="1" applyAlignment="1">
      <alignment horizontal="right" vertical="center"/>
    </xf>
    <xf numFmtId="165" fontId="16" fillId="2" borderId="0" xfId="0" applyNumberFormat="1" applyFont="1" applyFill="1" applyAlignment="1">
      <alignment vertical="center"/>
    </xf>
    <xf numFmtId="164" fontId="17" fillId="2" borderId="0" xfId="0" applyNumberFormat="1" applyFont="1" applyFill="1" applyAlignment="1">
      <alignment vertical="center"/>
    </xf>
    <xf numFmtId="164" fontId="16" fillId="2" borderId="3" xfId="0" applyNumberFormat="1" applyFont="1" applyFill="1" applyBorder="1" applyAlignment="1">
      <alignment vertical="center"/>
    </xf>
    <xf numFmtId="9" fontId="17" fillId="2" borderId="0" xfId="3" applyFont="1" applyFill="1" applyAlignment="1">
      <alignment vertical="center"/>
    </xf>
    <xf numFmtId="164" fontId="16" fillId="2" borderId="0" xfId="0" applyNumberFormat="1" applyFont="1" applyFill="1" applyAlignment="1">
      <alignment vertical="center"/>
    </xf>
    <xf numFmtId="0" fontId="17" fillId="2" borderId="11" xfId="0" applyFont="1" applyFill="1" applyBorder="1" applyAlignment="1">
      <alignment vertical="center"/>
    </xf>
    <xf numFmtId="0" fontId="17" fillId="2" borderId="4" xfId="0" applyFont="1" applyFill="1" applyBorder="1" applyAlignment="1">
      <alignment horizontal="right" vertical="center"/>
    </xf>
    <xf numFmtId="165" fontId="17" fillId="2" borderId="4" xfId="0" applyNumberFormat="1" applyFont="1" applyFill="1" applyBorder="1" applyAlignment="1">
      <alignment vertical="center"/>
    </xf>
    <xf numFmtId="0" fontId="17" fillId="2" borderId="4" xfId="0" applyFont="1" applyFill="1" applyBorder="1" applyAlignment="1">
      <alignment horizontal="center" vertical="center"/>
    </xf>
    <xf numFmtId="164" fontId="16" fillId="2" borderId="4" xfId="0" applyNumberFormat="1" applyFont="1" applyFill="1" applyBorder="1" applyAlignment="1">
      <alignment vertical="center"/>
    </xf>
    <xf numFmtId="9" fontId="17" fillId="2" borderId="12" xfId="3" applyFont="1" applyFill="1" applyBorder="1" applyAlignment="1">
      <alignment vertical="center"/>
    </xf>
    <xf numFmtId="0" fontId="17" fillId="2" borderId="0" xfId="0" applyFont="1" applyFill="1" applyBorder="1" applyAlignment="1">
      <alignment horizontal="right" vertical="center"/>
    </xf>
    <xf numFmtId="165" fontId="17" fillId="2" borderId="0" xfId="0" applyNumberFormat="1" applyFont="1" applyFill="1" applyBorder="1" applyAlignment="1">
      <alignment vertical="center"/>
    </xf>
    <xf numFmtId="0" fontId="17" fillId="2" borderId="0" xfId="0" applyFont="1" applyFill="1" applyBorder="1" applyAlignment="1">
      <alignment horizontal="center" vertical="center"/>
    </xf>
    <xf numFmtId="164" fontId="16" fillId="2" borderId="0" xfId="0" applyNumberFormat="1" applyFont="1" applyFill="1" applyBorder="1" applyAlignment="1">
      <alignment vertical="center"/>
    </xf>
    <xf numFmtId="9" fontId="17" fillId="2" borderId="10" xfId="3" applyFont="1" applyFill="1" applyBorder="1" applyAlignment="1">
      <alignment vertical="center"/>
    </xf>
    <xf numFmtId="0" fontId="16" fillId="2" borderId="5" xfId="0" applyFont="1" applyFill="1" applyBorder="1" applyAlignment="1">
      <alignment vertical="center"/>
    </xf>
    <xf numFmtId="0" fontId="17" fillId="2" borderId="13" xfId="0" applyFont="1" applyFill="1" applyBorder="1" applyAlignment="1">
      <alignment vertical="center"/>
    </xf>
    <xf numFmtId="0" fontId="17" fillId="2" borderId="2" xfId="0" applyFont="1" applyFill="1" applyBorder="1" applyAlignment="1">
      <alignment horizontal="right" vertical="center"/>
    </xf>
    <xf numFmtId="165" fontId="17" fillId="2" borderId="2" xfId="0" applyNumberFormat="1" applyFont="1" applyFill="1" applyBorder="1" applyAlignment="1">
      <alignment vertical="center"/>
    </xf>
    <xf numFmtId="0" fontId="17" fillId="2" borderId="2" xfId="0" applyFont="1" applyFill="1" applyBorder="1" applyAlignment="1">
      <alignment horizontal="center" vertical="center"/>
    </xf>
    <xf numFmtId="164" fontId="16" fillId="2" borderId="2" xfId="0" applyNumberFormat="1" applyFont="1" applyFill="1" applyBorder="1" applyAlignment="1">
      <alignment vertical="center"/>
    </xf>
    <xf numFmtId="9" fontId="17" fillId="2" borderId="9" xfId="3" applyFont="1" applyFill="1" applyBorder="1" applyAlignment="1">
      <alignment vertical="center"/>
    </xf>
    <xf numFmtId="0" fontId="16" fillId="2" borderId="0" xfId="0" applyFont="1" applyFill="1" applyAlignment="1">
      <alignment horizontal="center" vertical="center" wrapText="1"/>
    </xf>
    <xf numFmtId="164" fontId="16" fillId="2" borderId="0" xfId="0" applyNumberFormat="1" applyFont="1" applyFill="1" applyAlignment="1">
      <alignment horizontal="center" vertical="center" wrapText="1"/>
    </xf>
    <xf numFmtId="9" fontId="16" fillId="2" borderId="0" xfId="3" applyFont="1" applyFill="1" applyAlignment="1">
      <alignment horizontal="center" vertical="center" wrapText="1"/>
    </xf>
    <xf numFmtId="44" fontId="16" fillId="2" borderId="0" xfId="2" applyFont="1" applyFill="1" applyAlignment="1">
      <alignment horizontal="center" vertical="center" wrapText="1"/>
    </xf>
    <xf numFmtId="44" fontId="17" fillId="2" borderId="0" xfId="0" applyNumberFormat="1" applyFont="1" applyFill="1" applyAlignment="1">
      <alignment horizontal="center" vertical="center"/>
    </xf>
    <xf numFmtId="44" fontId="17" fillId="2" borderId="0" xfId="3" applyNumberFormat="1" applyFont="1" applyFill="1" applyAlignment="1">
      <alignment vertical="center"/>
    </xf>
    <xf numFmtId="44" fontId="0" fillId="2" borderId="0" xfId="0" applyNumberFormat="1" applyFont="1" applyFill="1"/>
    <xf numFmtId="0" fontId="0" fillId="2" borderId="0" xfId="0" applyFont="1" applyFill="1"/>
    <xf numFmtId="1" fontId="7" fillId="2" borderId="0" xfId="1" applyNumberFormat="1" applyFont="1" applyFill="1" applyAlignment="1" applyProtection="1">
      <alignment horizontal="center"/>
      <protection hidden="1"/>
    </xf>
    <xf numFmtId="0" fontId="6" fillId="2" borderId="0" xfId="0" applyFont="1" applyFill="1" applyAlignment="1" applyProtection="1">
      <alignment horizontal="center" vertical="center" wrapText="1"/>
      <protection hidden="1"/>
    </xf>
    <xf numFmtId="0" fontId="7" fillId="2" borderId="0" xfId="0" applyFont="1" applyFill="1" applyAlignment="1" applyProtection="1">
      <alignment horizontal="center" wrapText="1"/>
      <protection hidden="1"/>
    </xf>
    <xf numFmtId="0" fontId="9" fillId="2" borderId="0" xfId="0" applyFont="1" applyFill="1" applyAlignment="1" applyProtection="1">
      <alignment horizontal="center" vertical="center" wrapText="1"/>
      <protection hidden="1"/>
    </xf>
    <xf numFmtId="164" fontId="0" fillId="2" borderId="0" xfId="2" applyNumberFormat="1" applyFont="1" applyFill="1" applyAlignment="1">
      <alignment horizontal="center" wrapText="1"/>
    </xf>
    <xf numFmtId="2" fontId="0" fillId="2" borderId="2" xfId="0" applyNumberFormat="1" applyFont="1" applyFill="1" applyBorder="1" applyAlignment="1">
      <alignment horizontal="center" wrapText="1"/>
    </xf>
    <xf numFmtId="0" fontId="0" fillId="2" borderId="2" xfId="0" applyFont="1" applyFill="1" applyBorder="1" applyAlignment="1">
      <alignment horizontal="center" wrapText="1"/>
    </xf>
    <xf numFmtId="0" fontId="0" fillId="2" borderId="0" xfId="0" applyFill="1" applyAlignment="1">
      <alignment horizontal="center" wrapText="1"/>
    </xf>
    <xf numFmtId="0" fontId="3" fillId="2" borderId="2" xfId="0" applyFont="1" applyFill="1" applyBorder="1" applyAlignment="1">
      <alignment horizontal="center" wrapText="1"/>
    </xf>
    <xf numFmtId="0" fontId="8" fillId="2" borderId="0" xfId="0" applyFont="1" applyFill="1" applyAlignment="1" applyProtection="1">
      <alignment horizontal="center" vertical="center" wrapText="1"/>
      <protection hidden="1"/>
    </xf>
    <xf numFmtId="0" fontId="3" fillId="2" borderId="6" xfId="0" applyFont="1" applyFill="1" applyBorder="1" applyAlignment="1">
      <alignment horizontal="center" wrapText="1"/>
    </xf>
    <xf numFmtId="0" fontId="0" fillId="2" borderId="17" xfId="0" applyFill="1" applyBorder="1" applyAlignment="1">
      <alignment horizontal="center" wrapText="1"/>
    </xf>
    <xf numFmtId="176" fontId="3" fillId="2" borderId="17" xfId="0" applyNumberFormat="1" applyFont="1" applyFill="1" applyBorder="1" applyAlignment="1">
      <alignment horizontal="center" wrapText="1"/>
    </xf>
    <xf numFmtId="0" fontId="3" fillId="2" borderId="11" xfId="0" applyFont="1" applyFill="1" applyBorder="1" applyAlignment="1">
      <alignment horizontal="center" wrapText="1"/>
    </xf>
    <xf numFmtId="0" fontId="3" fillId="2" borderId="4" xfId="0" applyFont="1" applyFill="1" applyBorder="1" applyAlignment="1">
      <alignment horizontal="center" wrapText="1"/>
    </xf>
    <xf numFmtId="0" fontId="3" fillId="2" borderId="12" xfId="0" applyFont="1" applyFill="1" applyBorder="1" applyAlignment="1">
      <alignment horizontal="center" wrapText="1"/>
    </xf>
    <xf numFmtId="0" fontId="3" fillId="2" borderId="13" xfId="0" applyFont="1" applyFill="1" applyBorder="1" applyAlignment="1">
      <alignment horizontal="center" wrapText="1"/>
    </xf>
    <xf numFmtId="0" fontId="3" fillId="2" borderId="9" xfId="0" applyFont="1" applyFill="1" applyBorder="1" applyAlignment="1">
      <alignment horizontal="center" wrapText="1"/>
    </xf>
    <xf numFmtId="9" fontId="3" fillId="2" borderId="1" xfId="3" applyFont="1" applyFill="1" applyBorder="1" applyAlignment="1" applyProtection="1">
      <alignment horizontal="center" vertical="center" wrapText="1"/>
      <protection hidden="1"/>
    </xf>
    <xf numFmtId="0" fontId="0" fillId="2" borderId="0" xfId="0" applyFill="1" applyAlignment="1">
      <alignment horizontal="left" vertical="center" wrapText="1"/>
    </xf>
    <xf numFmtId="1" fontId="0" fillId="2" borderId="0" xfId="0" applyNumberFormat="1" applyFill="1" applyAlignment="1">
      <alignment horizontal="center" wrapText="1"/>
    </xf>
    <xf numFmtId="0" fontId="3" fillId="2" borderId="4" xfId="0" applyFont="1" applyFill="1" applyBorder="1" applyAlignment="1">
      <alignment horizontal="center"/>
    </xf>
    <xf numFmtId="0" fontId="3" fillId="2" borderId="12" xfId="0" applyFont="1" applyFill="1" applyBorder="1" applyAlignment="1">
      <alignment horizontal="center"/>
    </xf>
    <xf numFmtId="0" fontId="3" fillId="2" borderId="11" xfId="0" applyFont="1" applyFill="1" applyBorder="1" applyAlignment="1">
      <alignment horizontal="center"/>
    </xf>
    <xf numFmtId="0" fontId="26" fillId="2" borderId="0" xfId="0" applyFont="1" applyFill="1" applyAlignment="1">
      <alignment horizontal="center" vertical="top" wrapText="1"/>
    </xf>
    <xf numFmtId="0" fontId="0" fillId="2" borderId="0" xfId="0" applyFill="1" applyAlignment="1">
      <alignment horizontal="left" vertical="top" wrapText="1"/>
    </xf>
    <xf numFmtId="176" fontId="3" fillId="2" borderId="0" xfId="0" applyNumberFormat="1" applyFont="1" applyFill="1" applyAlignment="1">
      <alignment horizontal="center" wrapText="1"/>
    </xf>
    <xf numFmtId="0" fontId="0" fillId="2" borderId="0" xfId="0" applyFill="1" applyAlignment="1">
      <alignment horizontal="center" vertical="center" wrapText="1"/>
    </xf>
    <xf numFmtId="0" fontId="22" fillId="2" borderId="6" xfId="0" applyFont="1" applyFill="1" applyBorder="1" applyAlignment="1">
      <alignment horizontal="center" vertical="center" textRotation="90" wrapText="1"/>
    </xf>
  </cellXfs>
  <cellStyles count="4">
    <cellStyle name="Millares" xfId="1" builtinId="3"/>
    <cellStyle name="Moneda" xfId="2" builtinId="4"/>
    <cellStyle name="Normal" xfId="0" builtinId="0"/>
    <cellStyle name="Porcentaj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C"/>
        </a:p>
      </c:txPr>
    </c:title>
    <c:autoTitleDeleted val="0"/>
    <c:plotArea>
      <c:layout/>
      <c:barChart>
        <c:barDir val="col"/>
        <c:grouping val="clustered"/>
        <c:varyColors val="0"/>
        <c:ser>
          <c:idx val="0"/>
          <c:order val="0"/>
          <c:tx>
            <c:strRef>
              <c:f>'Adminis CxC'!$A$114</c:f>
              <c:strCache>
                <c:ptCount val="1"/>
                <c:pt idx="0">
                  <c:v>Contribución de las Utilidades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s-EC"/>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'Adminis CxC'!$D$113:$F$113</c:f>
              <c:strCache>
                <c:ptCount val="3"/>
                <c:pt idx="0">
                  <c:v>Plan Propuesto</c:v>
                </c:pt>
                <c:pt idx="1">
                  <c:v>Plan Presente</c:v>
                </c:pt>
                <c:pt idx="2">
                  <c:v>Diferencia</c:v>
                </c:pt>
              </c:strCache>
            </c:strRef>
          </c:cat>
          <c:val>
            <c:numRef>
              <c:f>'Adminis CxC'!$D$114:$F$114</c:f>
              <c:numCache>
                <c:formatCode>#,##0.00_ ;[Red]\-#,##0.00\ </c:formatCode>
                <c:ptCount val="3"/>
                <c:pt idx="0" formatCode="_(&quot;$&quot;* #,##0.00_);_(&quot;$&quot;* \(#,##0.00\);_(&quot;$&quot;* &quot;-&quot;??_);_(@_)">
                  <c:v>3631874.3169510351</c:v>
                </c:pt>
                <c:pt idx="1">
                  <c:v>3129218.7223487259</c:v>
                </c:pt>
                <c:pt idx="2" formatCode="_(&quot;$&quot;* #,##0.00_);_(&quot;$&quot;* \(#,##0.00\);_(&quot;$&quot;* &quot;-&quot;??_);_(@_)">
                  <c:v>502655.59460230917</c:v>
                </c:pt>
              </c:numCache>
            </c:numRef>
          </c:val>
          <c:extLst>
            <c:ext xmlns:c16="http://schemas.microsoft.com/office/drawing/2014/chart" uri="{C3380CC4-5D6E-409C-BE32-E72D297353CC}">
              <c16:uniqueId val="{00000002-F039-4958-98BA-9E9B0DE73BB7}"/>
            </c:ext>
          </c:extLst>
        </c:ser>
        <c:dLbls>
          <c:dLblPos val="inEnd"/>
          <c:showLegendKey val="0"/>
          <c:showVal val="1"/>
          <c:showCatName val="0"/>
          <c:showSerName val="0"/>
          <c:showPercent val="0"/>
          <c:showBubbleSize val="0"/>
        </c:dLbls>
        <c:gapWidth val="65"/>
        <c:axId val="1413238704"/>
        <c:axId val="1413239120"/>
      </c:barChart>
      <c:catAx>
        <c:axId val="14132387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s-EC"/>
          </a:p>
        </c:txPr>
        <c:crossAx val="1413239120"/>
        <c:crosses val="autoZero"/>
        <c:auto val="1"/>
        <c:lblAlgn val="ctr"/>
        <c:lblOffset val="100"/>
        <c:noMultiLvlLbl val="0"/>
      </c:catAx>
      <c:valAx>
        <c:axId val="14132391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00_);_(&quot;$&quot;* \(#,##0.00\);_(&quot;$&quot;* &quot;-&quot;??_);_(@_)" sourceLinked="1"/>
        <c:majorTickMark val="none"/>
        <c:minorTickMark val="none"/>
        <c:tickLblPos val="nextTo"/>
        <c:crossAx val="1413238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EC"/>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C"/>
        </a:p>
      </c:txPr>
    </c:title>
    <c:autoTitleDeleted val="0"/>
    <c:plotArea>
      <c:layout/>
      <c:barChart>
        <c:barDir val="col"/>
        <c:grouping val="clustered"/>
        <c:varyColors val="0"/>
        <c:ser>
          <c:idx val="0"/>
          <c:order val="0"/>
          <c:tx>
            <c:strRef>
              <c:f>'Adminis CxC'!$A$116</c:f>
              <c:strCache>
                <c:ptCount val="1"/>
                <c:pt idx="0">
                  <c:v>Costo de Inversión Marginal en Cuentas por Cobrar (CIMCC)</c:v>
                </c:pt>
              </c:strCache>
            </c:strRef>
          </c:tx>
          <c:spPr>
            <a:solidFill>
              <a:schemeClr val="accent2">
                <a:alpha val="85000"/>
              </a:schemeClr>
            </a:solidFill>
            <a:ln w="9525" cap="flat" cmpd="sng" algn="ctr">
              <a:solidFill>
                <a:schemeClr val="lt1">
                  <a:alpha val="50000"/>
                </a:schemeClr>
              </a:solidFill>
              <a:round/>
            </a:ln>
            <a:effectLst/>
          </c:spPr>
          <c:invertIfNegative val="0"/>
          <c:dLbls>
            <c:dLbl>
              <c:idx val="2"/>
              <c:layout>
                <c:manualLayout>
                  <c:x val="5.5555555555555558E-3"/>
                  <c:y val="0.1670326625838437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05-4985-8757-9FF973E14D9C}"/>
                </c:ext>
              </c:extLst>
            </c:dLbl>
            <c:dLbl>
              <c:idx val="3"/>
              <c:layout>
                <c:manualLayout>
                  <c:x val="0"/>
                  <c:y val="0.1421307232429280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005-4985-8757-9FF973E14D9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s-EC"/>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'Adminis CxC'!$D$113:$G$113</c:f>
              <c:strCache>
                <c:ptCount val="3"/>
                <c:pt idx="0">
                  <c:v>Plan Propuesto</c:v>
                </c:pt>
                <c:pt idx="1">
                  <c:v>Plan Presente</c:v>
                </c:pt>
                <c:pt idx="2">
                  <c:v>Diferencia</c:v>
                </c:pt>
              </c:strCache>
            </c:strRef>
          </c:cat>
          <c:val>
            <c:numRef>
              <c:f>'Adminis CxC'!$D$116:$G$116</c:f>
              <c:numCache>
                <c:formatCode>#,##0.00_ ;[Red]\-#,##0.00\ </c:formatCode>
                <c:ptCount val="4"/>
                <c:pt idx="0" formatCode="_(&quot;$&quot;* #,##0.00_);_(&quot;$&quot;* \(#,##0.00\);_(&quot;$&quot;* &quot;-&quot;??_);_(@_)">
                  <c:v>232246.11788774756</c:v>
                </c:pt>
                <c:pt idx="1">
                  <c:v>263270.65204453148</c:v>
                </c:pt>
                <c:pt idx="2" formatCode="_(&quot;$&quot;* #,##0.00_);_(&quot;$&quot;* \(#,##0.00\);_(&quot;$&quot;* &quot;-&quot;??_);_(@_)">
                  <c:v>-31024.53415678392</c:v>
                </c:pt>
                <c:pt idx="3" formatCode="&quot;$&quot;\ #,###\ &quot;(ahorro)&quot;">
                  <c:v>-4033.1894403819097</c:v>
                </c:pt>
              </c:numCache>
            </c:numRef>
          </c:val>
          <c:extLst>
            <c:ext xmlns:c16="http://schemas.microsoft.com/office/drawing/2014/chart" uri="{C3380CC4-5D6E-409C-BE32-E72D297353CC}">
              <c16:uniqueId val="{00000000-1005-4985-8757-9FF973E14D9C}"/>
            </c:ext>
          </c:extLst>
        </c:ser>
        <c:dLbls>
          <c:dLblPos val="inEnd"/>
          <c:showLegendKey val="0"/>
          <c:showVal val="1"/>
          <c:showCatName val="0"/>
          <c:showSerName val="0"/>
          <c:showPercent val="0"/>
          <c:showBubbleSize val="0"/>
        </c:dLbls>
        <c:gapWidth val="65"/>
        <c:axId val="1413238704"/>
        <c:axId val="1413239120"/>
      </c:barChart>
      <c:catAx>
        <c:axId val="14132387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s-EC"/>
          </a:p>
        </c:txPr>
        <c:crossAx val="1413239120"/>
        <c:crosses val="autoZero"/>
        <c:auto val="1"/>
        <c:lblAlgn val="ctr"/>
        <c:lblOffset val="100"/>
        <c:noMultiLvlLbl val="0"/>
      </c:catAx>
      <c:valAx>
        <c:axId val="14132391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00_);_(&quot;$&quot;* \(#,##0.00\);_(&quot;$&quot;* &quot;-&quot;??_);_(@_)" sourceLinked="1"/>
        <c:majorTickMark val="none"/>
        <c:minorTickMark val="none"/>
        <c:tickLblPos val="nextTo"/>
        <c:crossAx val="1413238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EC"/>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C"/>
        </a:p>
      </c:txPr>
    </c:title>
    <c:autoTitleDeleted val="0"/>
    <c:plotArea>
      <c:layout/>
      <c:barChart>
        <c:barDir val="col"/>
        <c:grouping val="clustered"/>
        <c:varyColors val="0"/>
        <c:ser>
          <c:idx val="0"/>
          <c:order val="0"/>
          <c:tx>
            <c:strRef>
              <c:f>'Adminis CxC'!$A$117</c:f>
              <c:strCache>
                <c:ptCount val="1"/>
                <c:pt idx="0">
                  <c:v>Costo Cuentas Malas Marginales (CCMM)</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C"/>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'Adminis CxC'!$D$113:$F$113</c:f>
              <c:strCache>
                <c:ptCount val="3"/>
                <c:pt idx="0">
                  <c:v>Plan Propuesto</c:v>
                </c:pt>
                <c:pt idx="1">
                  <c:v>Plan Presente</c:v>
                </c:pt>
                <c:pt idx="2">
                  <c:v>Diferencia</c:v>
                </c:pt>
              </c:strCache>
            </c:strRef>
          </c:cat>
          <c:val>
            <c:numRef>
              <c:f>'Adminis CxC'!$D$117:$F$117</c:f>
              <c:numCache>
                <c:formatCode>_("$"* #,##0.00_);_("$"* \(#,##0.00\);_("$"* "-"??_);_(@_)</c:formatCode>
                <c:ptCount val="3"/>
                <c:pt idx="0">
                  <c:v>270931.11882798257</c:v>
                </c:pt>
                <c:pt idx="1">
                  <c:v>418830.71509639826</c:v>
                </c:pt>
                <c:pt idx="2">
                  <c:v>-147899.59626841568</c:v>
                </c:pt>
              </c:numCache>
            </c:numRef>
          </c:val>
          <c:extLst>
            <c:ext xmlns:c16="http://schemas.microsoft.com/office/drawing/2014/chart" uri="{C3380CC4-5D6E-409C-BE32-E72D297353CC}">
              <c16:uniqueId val="{00000000-DB4A-4667-BCED-030DA8AF9F7A}"/>
            </c:ext>
          </c:extLst>
        </c:ser>
        <c:dLbls>
          <c:dLblPos val="inEnd"/>
          <c:showLegendKey val="0"/>
          <c:showVal val="1"/>
          <c:showCatName val="0"/>
          <c:showSerName val="0"/>
          <c:showPercent val="0"/>
          <c:showBubbleSize val="0"/>
        </c:dLbls>
        <c:gapWidth val="65"/>
        <c:axId val="1413238704"/>
        <c:axId val="1413239120"/>
      </c:barChart>
      <c:catAx>
        <c:axId val="14132387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s-EC"/>
          </a:p>
        </c:txPr>
        <c:crossAx val="1413239120"/>
        <c:crosses val="autoZero"/>
        <c:auto val="1"/>
        <c:lblAlgn val="ctr"/>
        <c:lblOffset val="100"/>
        <c:noMultiLvlLbl val="0"/>
      </c:catAx>
      <c:valAx>
        <c:axId val="14132391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00_);_(&quot;$&quot;* \(#,##0.00\);_(&quot;$&quot;* &quot;-&quot;??_);_(@_)" sourceLinked="1"/>
        <c:majorTickMark val="none"/>
        <c:minorTickMark val="none"/>
        <c:tickLblPos val="nextTo"/>
        <c:crossAx val="1413238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EC"/>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C"/>
        </a:p>
      </c:txPr>
    </c:title>
    <c:autoTitleDeleted val="0"/>
    <c:plotArea>
      <c:layout/>
      <c:barChart>
        <c:barDir val="col"/>
        <c:grouping val="clustered"/>
        <c:varyColors val="0"/>
        <c:ser>
          <c:idx val="0"/>
          <c:order val="0"/>
          <c:tx>
            <c:strRef>
              <c:f>'Adminis CxC'!$A$118</c:f>
              <c:strCache>
                <c:ptCount val="1"/>
                <c:pt idx="0">
                  <c:v>Costo del Descuento por pronto pago (CDPP)</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s-EC"/>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'Adminis CxC'!$D$113</c:f>
              <c:strCache>
                <c:ptCount val="1"/>
                <c:pt idx="0">
                  <c:v>Plan Propuesto</c:v>
                </c:pt>
              </c:strCache>
            </c:strRef>
          </c:cat>
          <c:val>
            <c:numRef>
              <c:f>'Adminis CxC'!$D$118</c:f>
              <c:numCache>
                <c:formatCode>_("$"* #,##0.00_);_("$"* \(#,##0.00\);_("$"* "-"??_);_(@_)</c:formatCode>
                <c:ptCount val="1"/>
                <c:pt idx="0">
                  <c:v>385324.25788868638</c:v>
                </c:pt>
              </c:numCache>
            </c:numRef>
          </c:val>
          <c:extLst>
            <c:ext xmlns:c16="http://schemas.microsoft.com/office/drawing/2014/chart" uri="{C3380CC4-5D6E-409C-BE32-E72D297353CC}">
              <c16:uniqueId val="{00000000-BE39-4F21-B6C6-39E987522794}"/>
            </c:ext>
          </c:extLst>
        </c:ser>
        <c:dLbls>
          <c:dLblPos val="inEnd"/>
          <c:showLegendKey val="0"/>
          <c:showVal val="1"/>
          <c:showCatName val="0"/>
          <c:showSerName val="0"/>
          <c:showPercent val="0"/>
          <c:showBubbleSize val="0"/>
        </c:dLbls>
        <c:gapWidth val="65"/>
        <c:axId val="1413238704"/>
        <c:axId val="1413239120"/>
      </c:barChart>
      <c:catAx>
        <c:axId val="14132387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s-EC"/>
          </a:p>
        </c:txPr>
        <c:crossAx val="1413239120"/>
        <c:crosses val="autoZero"/>
        <c:auto val="1"/>
        <c:lblAlgn val="ctr"/>
        <c:lblOffset val="100"/>
        <c:noMultiLvlLbl val="0"/>
      </c:catAx>
      <c:valAx>
        <c:axId val="14132391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00_);_(&quot;$&quot;* \(#,##0.00\);_(&quot;$&quot;* &quot;-&quot;??_);_(@_)" sourceLinked="1"/>
        <c:majorTickMark val="none"/>
        <c:minorTickMark val="none"/>
        <c:tickLblPos val="nextTo"/>
        <c:crossAx val="1413238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EC"/>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119</xdr:row>
      <xdr:rowOff>2723</xdr:rowOff>
    </xdr:from>
    <xdr:to>
      <xdr:col>2</xdr:col>
      <xdr:colOff>1224642</xdr:colOff>
      <xdr:row>134</xdr:row>
      <xdr:rowOff>24494</xdr:rowOff>
    </xdr:to>
    <xdr:graphicFrame macro="">
      <xdr:nvGraphicFramePr>
        <xdr:cNvPr id="6" name="Gráfico 1">
          <a:extLst>
            <a:ext uri="{FF2B5EF4-FFF2-40B4-BE49-F238E27FC236}">
              <a16:creationId xmlns:a16="http://schemas.microsoft.com/office/drawing/2014/main" id="{AE00EDBE-E3C0-611E-9F6C-E915E08E9A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118</xdr:row>
      <xdr:rowOff>172357</xdr:rowOff>
    </xdr:from>
    <xdr:to>
      <xdr:col>7</xdr:col>
      <xdr:colOff>27215</xdr:colOff>
      <xdr:row>134</xdr:row>
      <xdr:rowOff>12700</xdr:rowOff>
    </xdr:to>
    <xdr:graphicFrame macro="">
      <xdr:nvGraphicFramePr>
        <xdr:cNvPr id="8" name="Gráfico 1">
          <a:extLst>
            <a:ext uri="{FF2B5EF4-FFF2-40B4-BE49-F238E27FC236}">
              <a16:creationId xmlns:a16="http://schemas.microsoft.com/office/drawing/2014/main" id="{93719755-A336-42B9-8A1A-F5D2904B97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138</xdr:row>
      <xdr:rowOff>1</xdr:rowOff>
    </xdr:from>
    <xdr:to>
      <xdr:col>3</xdr:col>
      <xdr:colOff>45357</xdr:colOff>
      <xdr:row>153</xdr:row>
      <xdr:rowOff>21772</xdr:rowOff>
    </xdr:to>
    <xdr:graphicFrame macro="">
      <xdr:nvGraphicFramePr>
        <xdr:cNvPr id="9" name="Gráfico 1">
          <a:extLst>
            <a:ext uri="{FF2B5EF4-FFF2-40B4-BE49-F238E27FC236}">
              <a16:creationId xmlns:a16="http://schemas.microsoft.com/office/drawing/2014/main" id="{72E7A386-2A12-4190-B69E-EA278C141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27214</xdr:colOff>
      <xdr:row>138</xdr:row>
      <xdr:rowOff>0</xdr:rowOff>
    </xdr:from>
    <xdr:to>
      <xdr:col>6</xdr:col>
      <xdr:colOff>2966357</xdr:colOff>
      <xdr:row>153</xdr:row>
      <xdr:rowOff>21771</xdr:rowOff>
    </xdr:to>
    <xdr:graphicFrame macro="">
      <xdr:nvGraphicFramePr>
        <xdr:cNvPr id="11" name="Gráfico 1">
          <a:extLst>
            <a:ext uri="{FF2B5EF4-FFF2-40B4-BE49-F238E27FC236}">
              <a16:creationId xmlns:a16="http://schemas.microsoft.com/office/drawing/2014/main" id="{8A1F6421-1FB7-4358-83F5-6482356B0F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979714</xdr:colOff>
      <xdr:row>126</xdr:row>
      <xdr:rowOff>45357</xdr:rowOff>
    </xdr:from>
    <xdr:to>
      <xdr:col>5</xdr:col>
      <xdr:colOff>798286</xdr:colOff>
      <xdr:row>128</xdr:row>
      <xdr:rowOff>154215</xdr:rowOff>
    </xdr:to>
    <xdr:cxnSp macro="">
      <xdr:nvCxnSpPr>
        <xdr:cNvPr id="13" name="Conector recto de flecha 12">
          <a:extLst>
            <a:ext uri="{FF2B5EF4-FFF2-40B4-BE49-F238E27FC236}">
              <a16:creationId xmlns:a16="http://schemas.microsoft.com/office/drawing/2014/main" id="{1F70856B-3BA9-1A08-CA10-05D120FF90E9}"/>
            </a:ext>
          </a:extLst>
        </xdr:cNvPr>
        <xdr:cNvCxnSpPr/>
      </xdr:nvCxnSpPr>
      <xdr:spPr>
        <a:xfrm flipH="1">
          <a:off x="7375071" y="21109214"/>
          <a:ext cx="1197429" cy="471715"/>
        </a:xfrm>
        <a:prstGeom prst="straightConnector1">
          <a:avLst/>
        </a:prstGeom>
        <a:ln w="5715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498929</xdr:colOff>
      <xdr:row>125</xdr:row>
      <xdr:rowOff>108857</xdr:rowOff>
    </xdr:from>
    <xdr:to>
      <xdr:col>1</xdr:col>
      <xdr:colOff>1814286</xdr:colOff>
      <xdr:row>131</xdr:row>
      <xdr:rowOff>54429</xdr:rowOff>
    </xdr:to>
    <xdr:cxnSp macro="">
      <xdr:nvCxnSpPr>
        <xdr:cNvPr id="14" name="Conector recto de flecha 13">
          <a:extLst>
            <a:ext uri="{FF2B5EF4-FFF2-40B4-BE49-F238E27FC236}">
              <a16:creationId xmlns:a16="http://schemas.microsoft.com/office/drawing/2014/main" id="{D3FC3087-505E-45C7-A93D-A73E5F736E7B}"/>
            </a:ext>
          </a:extLst>
        </xdr:cNvPr>
        <xdr:cNvCxnSpPr/>
      </xdr:nvCxnSpPr>
      <xdr:spPr>
        <a:xfrm flipH="1" flipV="1">
          <a:off x="1260929" y="20991286"/>
          <a:ext cx="1315357" cy="1034143"/>
        </a:xfrm>
        <a:prstGeom prst="straightConnector1">
          <a:avLst/>
        </a:prstGeom>
        <a:ln w="5715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-217714</xdr:colOff>
      <xdr:row>104</xdr:row>
      <xdr:rowOff>127000</xdr:rowOff>
    </xdr:from>
    <xdr:to>
      <xdr:col>1</xdr:col>
      <xdr:colOff>698500</xdr:colOff>
      <xdr:row>108</xdr:row>
      <xdr:rowOff>38829</xdr:rowOff>
    </xdr:to>
    <xdr:sp macro="" textlink="">
      <xdr:nvSpPr>
        <xdr:cNvPr id="2" name="Forma libre: forma 1">
          <a:extLst>
            <a:ext uri="{FF2B5EF4-FFF2-40B4-BE49-F238E27FC236}">
              <a16:creationId xmlns:a16="http://schemas.microsoft.com/office/drawing/2014/main" id="{9F457BE6-F9FA-C5FE-8161-50BA60F8589B}"/>
            </a:ext>
          </a:extLst>
        </xdr:cNvPr>
        <xdr:cNvSpPr/>
      </xdr:nvSpPr>
      <xdr:spPr>
        <a:xfrm>
          <a:off x="-217714" y="19050000"/>
          <a:ext cx="1678214" cy="637543"/>
        </a:xfrm>
        <a:custGeom>
          <a:avLst/>
          <a:gdLst>
            <a:gd name="connsiteX0" fmla="*/ 580571 w 1678214"/>
            <a:gd name="connsiteY0" fmla="*/ 154214 h 637543"/>
            <a:gd name="connsiteX1" fmla="*/ 680357 w 1678214"/>
            <a:gd name="connsiteY1" fmla="*/ 390071 h 637543"/>
            <a:gd name="connsiteX2" fmla="*/ 235857 w 1678214"/>
            <a:gd name="connsiteY2" fmla="*/ 453571 h 637543"/>
            <a:gd name="connsiteX3" fmla="*/ 199571 w 1678214"/>
            <a:gd name="connsiteY3" fmla="*/ 517071 h 637543"/>
            <a:gd name="connsiteX4" fmla="*/ 399143 w 1678214"/>
            <a:gd name="connsiteY4" fmla="*/ 535214 h 637543"/>
            <a:gd name="connsiteX5" fmla="*/ 789214 w 1678214"/>
            <a:gd name="connsiteY5" fmla="*/ 544286 h 637543"/>
            <a:gd name="connsiteX6" fmla="*/ 861785 w 1678214"/>
            <a:gd name="connsiteY6" fmla="*/ 553357 h 637543"/>
            <a:gd name="connsiteX7" fmla="*/ 816428 w 1678214"/>
            <a:gd name="connsiteY7" fmla="*/ 607786 h 637543"/>
            <a:gd name="connsiteX8" fmla="*/ 798285 w 1678214"/>
            <a:gd name="connsiteY8" fmla="*/ 462643 h 637543"/>
            <a:gd name="connsiteX9" fmla="*/ 879928 w 1678214"/>
            <a:gd name="connsiteY9" fmla="*/ 190500 h 637543"/>
            <a:gd name="connsiteX10" fmla="*/ 961571 w 1678214"/>
            <a:gd name="connsiteY10" fmla="*/ 199571 h 637543"/>
            <a:gd name="connsiteX11" fmla="*/ 898071 w 1678214"/>
            <a:gd name="connsiteY11" fmla="*/ 263071 h 637543"/>
            <a:gd name="connsiteX12" fmla="*/ 725714 w 1678214"/>
            <a:gd name="connsiteY12" fmla="*/ 308429 h 637543"/>
            <a:gd name="connsiteX13" fmla="*/ 580571 w 1678214"/>
            <a:gd name="connsiteY13" fmla="*/ 272143 h 637543"/>
            <a:gd name="connsiteX14" fmla="*/ 526143 w 1678214"/>
            <a:gd name="connsiteY14" fmla="*/ 244929 h 637543"/>
            <a:gd name="connsiteX15" fmla="*/ 498928 w 1678214"/>
            <a:gd name="connsiteY15" fmla="*/ 308429 h 637543"/>
            <a:gd name="connsiteX16" fmla="*/ 689428 w 1678214"/>
            <a:gd name="connsiteY16" fmla="*/ 508000 h 637543"/>
            <a:gd name="connsiteX17" fmla="*/ 780143 w 1678214"/>
            <a:gd name="connsiteY17" fmla="*/ 335643 h 637543"/>
            <a:gd name="connsiteX18" fmla="*/ 689428 w 1678214"/>
            <a:gd name="connsiteY18" fmla="*/ 154214 h 637543"/>
            <a:gd name="connsiteX19" fmla="*/ 344714 w 1678214"/>
            <a:gd name="connsiteY19" fmla="*/ 335643 h 637543"/>
            <a:gd name="connsiteX20" fmla="*/ 362857 w 1678214"/>
            <a:gd name="connsiteY20" fmla="*/ 399143 h 637543"/>
            <a:gd name="connsiteX21" fmla="*/ 1678214 w 1678214"/>
            <a:gd name="connsiteY21" fmla="*/ 535214 h 637543"/>
            <a:gd name="connsiteX22" fmla="*/ 1433285 w 1678214"/>
            <a:gd name="connsiteY22" fmla="*/ 480786 h 637543"/>
            <a:gd name="connsiteX23" fmla="*/ 625928 w 1678214"/>
            <a:gd name="connsiteY23" fmla="*/ 417286 h 637543"/>
            <a:gd name="connsiteX24" fmla="*/ 335643 w 1678214"/>
            <a:gd name="connsiteY24" fmla="*/ 390071 h 637543"/>
            <a:gd name="connsiteX25" fmla="*/ 1070428 w 1678214"/>
            <a:gd name="connsiteY25" fmla="*/ 371929 h 637543"/>
            <a:gd name="connsiteX26" fmla="*/ 1224643 w 1678214"/>
            <a:gd name="connsiteY26" fmla="*/ 263071 h 637543"/>
            <a:gd name="connsiteX27" fmla="*/ 390071 w 1678214"/>
            <a:gd name="connsiteY27" fmla="*/ 99786 h 637543"/>
            <a:gd name="connsiteX28" fmla="*/ 0 w 1678214"/>
            <a:gd name="connsiteY28" fmla="*/ 117929 h 637543"/>
            <a:gd name="connsiteX29" fmla="*/ 517071 w 1678214"/>
            <a:gd name="connsiteY29" fmla="*/ 145143 h 637543"/>
            <a:gd name="connsiteX30" fmla="*/ 653143 w 1678214"/>
            <a:gd name="connsiteY30" fmla="*/ 635000 h 637543"/>
            <a:gd name="connsiteX31" fmla="*/ 725714 w 1678214"/>
            <a:gd name="connsiteY31" fmla="*/ 480786 h 637543"/>
            <a:gd name="connsiteX32" fmla="*/ 716643 w 1678214"/>
            <a:gd name="connsiteY32" fmla="*/ 353786 h 637543"/>
            <a:gd name="connsiteX33" fmla="*/ 734785 w 1678214"/>
            <a:gd name="connsiteY33" fmla="*/ 517071 h 637543"/>
            <a:gd name="connsiteX34" fmla="*/ 789214 w 1678214"/>
            <a:gd name="connsiteY34" fmla="*/ 480786 h 637543"/>
            <a:gd name="connsiteX35" fmla="*/ 870857 w 1678214"/>
            <a:gd name="connsiteY35" fmla="*/ 190500 h 637543"/>
            <a:gd name="connsiteX36" fmla="*/ 970643 w 1678214"/>
            <a:gd name="connsiteY36" fmla="*/ 263071 h 637543"/>
            <a:gd name="connsiteX37" fmla="*/ 1070428 w 1678214"/>
            <a:gd name="connsiteY37" fmla="*/ 0 h 637543"/>
            <a:gd name="connsiteX38" fmla="*/ 1079500 w 1678214"/>
            <a:gd name="connsiteY38" fmla="*/ 317500 h 637543"/>
            <a:gd name="connsiteX39" fmla="*/ 1170214 w 1678214"/>
            <a:gd name="connsiteY39" fmla="*/ 235857 h 637543"/>
            <a:gd name="connsiteX40" fmla="*/ 1197428 w 1678214"/>
            <a:gd name="connsiteY40" fmla="*/ 163286 h 637543"/>
            <a:gd name="connsiteX41" fmla="*/ 1206500 w 1678214"/>
            <a:gd name="connsiteY41" fmla="*/ 290286 h 637543"/>
            <a:gd name="connsiteX42" fmla="*/ 1433285 w 1678214"/>
            <a:gd name="connsiteY42" fmla="*/ 117929 h 637543"/>
            <a:gd name="connsiteX43" fmla="*/ 1442357 w 1678214"/>
            <a:gd name="connsiteY43" fmla="*/ 362857 h 637543"/>
            <a:gd name="connsiteX44" fmla="*/ 1469571 w 1678214"/>
            <a:gd name="connsiteY44" fmla="*/ 408214 h 63754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1678214" h="637543">
              <a:moveTo>
                <a:pt x="580571" y="154214"/>
              </a:moveTo>
              <a:cubicBezTo>
                <a:pt x="675098" y="371626"/>
                <a:pt x="647302" y="290912"/>
                <a:pt x="680357" y="390071"/>
              </a:cubicBezTo>
              <a:cubicBezTo>
                <a:pt x="532190" y="411238"/>
                <a:pt x="380565" y="415346"/>
                <a:pt x="235857" y="453571"/>
              </a:cubicBezTo>
              <a:cubicBezTo>
                <a:pt x="212287" y="459797"/>
                <a:pt x="177766" y="506168"/>
                <a:pt x="199571" y="517071"/>
              </a:cubicBezTo>
              <a:cubicBezTo>
                <a:pt x="259317" y="546944"/>
                <a:pt x="332416" y="532134"/>
                <a:pt x="399143" y="535214"/>
              </a:cubicBezTo>
              <a:cubicBezTo>
                <a:pt x="529064" y="541210"/>
                <a:pt x="659190" y="541262"/>
                <a:pt x="789214" y="544286"/>
              </a:cubicBezTo>
              <a:cubicBezTo>
                <a:pt x="813404" y="547310"/>
                <a:pt x="852182" y="530950"/>
                <a:pt x="861785" y="553357"/>
              </a:cubicBezTo>
              <a:cubicBezTo>
                <a:pt x="871088" y="575064"/>
                <a:pt x="829971" y="627134"/>
                <a:pt x="816428" y="607786"/>
              </a:cubicBezTo>
              <a:cubicBezTo>
                <a:pt x="788467" y="567842"/>
                <a:pt x="804333" y="511024"/>
                <a:pt x="798285" y="462643"/>
              </a:cubicBezTo>
              <a:cubicBezTo>
                <a:pt x="825499" y="371929"/>
                <a:pt x="829982" y="270968"/>
                <a:pt x="879928" y="190500"/>
              </a:cubicBezTo>
              <a:cubicBezTo>
                <a:pt x="894368" y="167235"/>
                <a:pt x="954930" y="173007"/>
                <a:pt x="961571" y="199571"/>
              </a:cubicBezTo>
              <a:cubicBezTo>
                <a:pt x="968831" y="228611"/>
                <a:pt x="925250" y="250527"/>
                <a:pt x="898071" y="263071"/>
              </a:cubicBezTo>
              <a:cubicBezTo>
                <a:pt x="844131" y="287967"/>
                <a:pt x="783166" y="293310"/>
                <a:pt x="725714" y="308429"/>
              </a:cubicBezTo>
              <a:cubicBezTo>
                <a:pt x="677333" y="296334"/>
                <a:pt x="628093" y="287264"/>
                <a:pt x="580571" y="272143"/>
              </a:cubicBezTo>
              <a:cubicBezTo>
                <a:pt x="561242" y="265993"/>
                <a:pt x="544679" y="236691"/>
                <a:pt x="526143" y="244929"/>
              </a:cubicBezTo>
              <a:cubicBezTo>
                <a:pt x="505099" y="254282"/>
                <a:pt x="508000" y="287262"/>
                <a:pt x="498928" y="308429"/>
              </a:cubicBezTo>
              <a:cubicBezTo>
                <a:pt x="507439" y="385025"/>
                <a:pt x="480760" y="615931"/>
                <a:pt x="689428" y="508000"/>
              </a:cubicBezTo>
              <a:cubicBezTo>
                <a:pt x="747095" y="478173"/>
                <a:pt x="749905" y="393095"/>
                <a:pt x="780143" y="335643"/>
              </a:cubicBezTo>
              <a:cubicBezTo>
                <a:pt x="749905" y="275167"/>
                <a:pt x="750699" y="182807"/>
                <a:pt x="689428" y="154214"/>
              </a:cubicBezTo>
              <a:cubicBezTo>
                <a:pt x="594417" y="109875"/>
                <a:pt x="391336" y="299382"/>
                <a:pt x="344714" y="335643"/>
              </a:cubicBezTo>
              <a:cubicBezTo>
                <a:pt x="350762" y="356810"/>
                <a:pt x="341789" y="392759"/>
                <a:pt x="362857" y="399143"/>
              </a:cubicBezTo>
              <a:cubicBezTo>
                <a:pt x="888960" y="558568"/>
                <a:pt x="1111476" y="521220"/>
                <a:pt x="1678214" y="535214"/>
              </a:cubicBezTo>
              <a:cubicBezTo>
                <a:pt x="1596571" y="517071"/>
                <a:pt x="1516399" y="490100"/>
                <a:pt x="1433285" y="480786"/>
              </a:cubicBezTo>
              <a:cubicBezTo>
                <a:pt x="1165014" y="450721"/>
                <a:pt x="894961" y="439520"/>
                <a:pt x="625928" y="417286"/>
              </a:cubicBezTo>
              <a:cubicBezTo>
                <a:pt x="529072" y="409281"/>
                <a:pt x="432405" y="399143"/>
                <a:pt x="335643" y="390071"/>
              </a:cubicBezTo>
              <a:lnTo>
                <a:pt x="1070428" y="371929"/>
              </a:lnTo>
              <a:cubicBezTo>
                <a:pt x="1132717" y="363031"/>
                <a:pt x="1283064" y="286440"/>
                <a:pt x="1224643" y="263071"/>
              </a:cubicBezTo>
              <a:cubicBezTo>
                <a:pt x="961452" y="157795"/>
                <a:pt x="668262" y="154214"/>
                <a:pt x="390071" y="99786"/>
              </a:cubicBezTo>
              <a:lnTo>
                <a:pt x="0" y="117929"/>
              </a:lnTo>
              <a:cubicBezTo>
                <a:pt x="162541" y="175979"/>
                <a:pt x="517071" y="145143"/>
                <a:pt x="517071" y="145143"/>
              </a:cubicBezTo>
              <a:cubicBezTo>
                <a:pt x="511941" y="283656"/>
                <a:pt x="457692" y="553561"/>
                <a:pt x="653143" y="635000"/>
              </a:cubicBezTo>
              <a:cubicBezTo>
                <a:pt x="705585" y="656851"/>
                <a:pt x="701524" y="532191"/>
                <a:pt x="725714" y="480786"/>
              </a:cubicBezTo>
              <a:cubicBezTo>
                <a:pt x="722690" y="438453"/>
                <a:pt x="706350" y="312612"/>
                <a:pt x="716643" y="353786"/>
              </a:cubicBezTo>
              <a:cubicBezTo>
                <a:pt x="729925" y="406914"/>
                <a:pt x="707615" y="469523"/>
                <a:pt x="734785" y="517071"/>
              </a:cubicBezTo>
              <a:cubicBezTo>
                <a:pt x="745603" y="536003"/>
                <a:pt x="771071" y="492881"/>
                <a:pt x="789214" y="480786"/>
              </a:cubicBezTo>
              <a:cubicBezTo>
                <a:pt x="816428" y="384024"/>
                <a:pt x="806508" y="267719"/>
                <a:pt x="870857" y="190500"/>
              </a:cubicBezTo>
              <a:cubicBezTo>
                <a:pt x="897187" y="158904"/>
                <a:pt x="940893" y="291469"/>
                <a:pt x="970643" y="263071"/>
              </a:cubicBezTo>
              <a:cubicBezTo>
                <a:pt x="1038484" y="198314"/>
                <a:pt x="1037166" y="87690"/>
                <a:pt x="1070428" y="0"/>
              </a:cubicBezTo>
              <a:cubicBezTo>
                <a:pt x="1073452" y="105833"/>
                <a:pt x="1038246" y="219991"/>
                <a:pt x="1079500" y="317500"/>
              </a:cubicBezTo>
              <a:cubicBezTo>
                <a:pt x="1095351" y="354966"/>
                <a:pt x="1145502" y="268172"/>
                <a:pt x="1170214" y="235857"/>
              </a:cubicBezTo>
              <a:cubicBezTo>
                <a:pt x="1185908" y="215335"/>
                <a:pt x="1188357" y="187476"/>
                <a:pt x="1197428" y="163286"/>
              </a:cubicBezTo>
              <a:cubicBezTo>
                <a:pt x="1200452" y="205619"/>
                <a:pt x="1168991" y="270428"/>
                <a:pt x="1206500" y="290286"/>
              </a:cubicBezTo>
              <a:cubicBezTo>
                <a:pt x="1321673" y="351260"/>
                <a:pt x="1401680" y="167092"/>
                <a:pt x="1433285" y="117929"/>
              </a:cubicBezTo>
              <a:cubicBezTo>
                <a:pt x="1436309" y="199572"/>
                <a:pt x="1429744" y="282138"/>
                <a:pt x="1442357" y="362857"/>
              </a:cubicBezTo>
              <a:cubicBezTo>
                <a:pt x="1449813" y="410575"/>
                <a:pt x="1502803" y="408214"/>
                <a:pt x="1469571" y="408214"/>
              </a:cubicBezTo>
            </a:path>
          </a:pathLst>
        </a:cu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6AAF5-4287-43B8-B14E-EB831B4509FD}">
  <dimension ref="A1:V138"/>
  <sheetViews>
    <sheetView tabSelected="1" topLeftCell="A10" zoomScale="96" zoomScaleNormal="96" workbookViewId="0">
      <selection activeCell="A138" sqref="A138:R138"/>
    </sheetView>
  </sheetViews>
  <sheetFormatPr baseColWidth="10" defaultColWidth="11.42578125" defaultRowHeight="15"/>
  <cols>
    <col min="1" max="1" width="34.85546875" style="4" customWidth="1"/>
    <col min="2" max="2" width="29.85546875" style="4" hidden="1" customWidth="1"/>
    <col min="3" max="3" width="17.7109375" style="4" hidden="1" customWidth="1"/>
    <col min="4" max="4" width="17.140625" style="4" hidden="1" customWidth="1"/>
    <col min="5" max="6" width="15.7109375" style="4" hidden="1" customWidth="1"/>
    <col min="7" max="7" width="15.7109375" style="4" customWidth="1"/>
    <col min="8" max="8" width="15.7109375" style="4" hidden="1" customWidth="1"/>
    <col min="9" max="9" width="12.85546875" style="4" customWidth="1"/>
    <col min="10" max="10" width="14.85546875" style="4" customWidth="1"/>
    <col min="11" max="11" width="16.85546875" style="4" customWidth="1"/>
    <col min="12" max="13" width="14.85546875" style="4" customWidth="1"/>
    <col min="14" max="14" width="14.140625" style="4" bestFit="1" customWidth="1"/>
    <col min="15" max="15" width="13.5703125" style="4" customWidth="1"/>
    <col min="16" max="16" width="15.85546875" style="4" customWidth="1"/>
    <col min="17" max="17" width="23.85546875" style="4" customWidth="1"/>
    <col min="18" max="18" width="11.42578125" style="4"/>
    <col min="19" max="19" width="13.28515625" style="4" customWidth="1"/>
    <col min="20" max="21" width="11.42578125" style="4"/>
    <col min="22" max="22" width="23.5703125" style="4" customWidth="1"/>
    <col min="23" max="16384" width="11.42578125" style="4"/>
  </cols>
  <sheetData>
    <row r="1" spans="1:11" ht="18.75">
      <c r="A1" s="2"/>
      <c r="B1" s="3"/>
      <c r="C1" s="180">
        <v>190102475001</v>
      </c>
      <c r="D1" s="180"/>
      <c r="E1" s="3"/>
      <c r="F1" s="3"/>
      <c r="G1" s="3"/>
      <c r="H1" s="3"/>
    </row>
    <row r="2" spans="1:11" ht="18.75" customHeight="1">
      <c r="A2" s="181" t="s">
        <v>238</v>
      </c>
      <c r="B2" s="181"/>
      <c r="C2" s="181"/>
      <c r="D2" s="181"/>
      <c r="E2" s="181"/>
      <c r="F2" s="181"/>
      <c r="G2" s="181"/>
      <c r="H2" s="181"/>
    </row>
    <row r="3" spans="1:11" ht="18.75">
      <c r="A3" s="182" t="s">
        <v>23</v>
      </c>
      <c r="B3" s="182"/>
      <c r="C3" s="182"/>
      <c r="D3" s="182"/>
      <c r="E3" s="182"/>
      <c r="F3" s="182"/>
      <c r="G3" s="182"/>
      <c r="H3" s="182"/>
    </row>
    <row r="4" spans="1:11" ht="15.75" thickBot="1">
      <c r="A4" s="5"/>
      <c r="B4" s="3"/>
      <c r="C4" s="3"/>
      <c r="D4" s="3"/>
      <c r="E4" s="3"/>
      <c r="F4" s="3"/>
      <c r="G4" s="3"/>
      <c r="H4" s="3"/>
    </row>
    <row r="5" spans="1:11" ht="15.75" thickBot="1">
      <c r="A5" s="3"/>
      <c r="B5" s="3"/>
      <c r="C5" s="6">
        <v>2015</v>
      </c>
      <c r="D5" s="6">
        <v>2016</v>
      </c>
      <c r="E5" s="6">
        <v>2017</v>
      </c>
      <c r="F5" s="6">
        <v>2018</v>
      </c>
      <c r="G5" s="6">
        <v>2019</v>
      </c>
      <c r="H5" s="6">
        <v>2020</v>
      </c>
    </row>
    <row r="6" spans="1:11">
      <c r="A6" s="2" t="s">
        <v>24</v>
      </c>
      <c r="B6" s="3"/>
      <c r="C6" s="3"/>
      <c r="D6" s="3"/>
      <c r="E6" s="3"/>
      <c r="F6" s="3"/>
      <c r="G6" s="3"/>
      <c r="H6" s="3"/>
    </row>
    <row r="7" spans="1:11">
      <c r="A7" s="2" t="s">
        <v>25</v>
      </c>
      <c r="B7" s="3"/>
      <c r="C7" s="3"/>
      <c r="D7" s="3"/>
      <c r="E7" s="3"/>
      <c r="F7" s="3"/>
      <c r="G7" s="3"/>
      <c r="H7" s="3"/>
    </row>
    <row r="8" spans="1:11">
      <c r="A8" s="3" t="s">
        <v>0</v>
      </c>
      <c r="B8" s="7" t="s">
        <v>26</v>
      </c>
      <c r="C8" s="8">
        <v>3405.75</v>
      </c>
      <c r="D8" s="8">
        <v>224.80000305175781</v>
      </c>
      <c r="E8" s="8">
        <v>1679.1600341796875</v>
      </c>
      <c r="F8" s="8">
        <v>1271.489990234375</v>
      </c>
      <c r="G8" s="8">
        <v>56057.07</v>
      </c>
      <c r="H8" s="8">
        <v>34732.421875</v>
      </c>
      <c r="I8" s="184" t="s">
        <v>117</v>
      </c>
      <c r="K8" s="9"/>
    </row>
    <row r="9" spans="1:11">
      <c r="A9" s="3" t="s">
        <v>27</v>
      </c>
      <c r="B9" s="7" t="s">
        <v>28</v>
      </c>
      <c r="C9" s="8">
        <v>0</v>
      </c>
      <c r="D9" s="8">
        <v>0</v>
      </c>
      <c r="E9" s="8">
        <v>0</v>
      </c>
      <c r="F9" s="8">
        <v>0</v>
      </c>
      <c r="G9" s="8">
        <v>0</v>
      </c>
      <c r="H9" s="8">
        <v>0</v>
      </c>
      <c r="I9" s="184"/>
      <c r="K9" s="9"/>
    </row>
    <row r="10" spans="1:11">
      <c r="A10" s="3" t="s">
        <v>1</v>
      </c>
      <c r="B10" s="7" t="s">
        <v>29</v>
      </c>
      <c r="C10" s="8">
        <v>130600.2109375</v>
      </c>
      <c r="D10" s="8">
        <v>130600.2109375</v>
      </c>
      <c r="E10" s="8">
        <v>160768.4375</v>
      </c>
      <c r="F10" s="8">
        <v>143191.265625</v>
      </c>
      <c r="G10" s="8">
        <v>374114.41</v>
      </c>
      <c r="H10" s="8">
        <v>374446.625</v>
      </c>
      <c r="I10" s="184"/>
      <c r="K10" s="9"/>
    </row>
    <row r="11" spans="1:11">
      <c r="A11" s="3" t="s">
        <v>2</v>
      </c>
      <c r="B11" s="7" t="s">
        <v>2</v>
      </c>
      <c r="C11" s="8">
        <v>103701.65625</v>
      </c>
      <c r="D11" s="8">
        <v>93542.171875</v>
      </c>
      <c r="E11" s="8">
        <v>102889.3359375</v>
      </c>
      <c r="F11" s="8">
        <v>46753.75</v>
      </c>
      <c r="G11" s="8">
        <v>584042.43999999994</v>
      </c>
      <c r="H11" s="8">
        <v>17275</v>
      </c>
      <c r="I11" s="184"/>
    </row>
    <row r="12" spans="1:11">
      <c r="A12" s="3" t="s">
        <v>3</v>
      </c>
      <c r="B12" s="7" t="s">
        <v>30</v>
      </c>
      <c r="C12" s="8">
        <v>13782.5703125</v>
      </c>
      <c r="D12" s="8">
        <v>6173.30029296875</v>
      </c>
      <c r="E12" s="8">
        <v>9363.76953125</v>
      </c>
      <c r="F12" s="8">
        <v>4844.7998046875</v>
      </c>
      <c r="G12" s="8">
        <v>214889.41</v>
      </c>
      <c r="H12" s="8">
        <v>0</v>
      </c>
      <c r="I12" s="10"/>
    </row>
    <row r="13" spans="1:11">
      <c r="A13" s="2" t="s">
        <v>31</v>
      </c>
      <c r="B13" s="7" t="s">
        <v>32</v>
      </c>
      <c r="C13" s="11">
        <v>251490.1875</v>
      </c>
      <c r="D13" s="11">
        <v>230540.48310852051</v>
      </c>
      <c r="E13" s="11">
        <v>274700.70300292969</v>
      </c>
      <c r="F13" s="11">
        <v>196061.30541992188</v>
      </c>
      <c r="G13" s="11">
        <f>SUM(G8:G12)</f>
        <v>1229103.3299999998</v>
      </c>
      <c r="H13" s="11">
        <v>426454.046875</v>
      </c>
      <c r="I13" s="10"/>
    </row>
    <row r="14" spans="1:11">
      <c r="A14" s="2" t="s">
        <v>33</v>
      </c>
      <c r="B14" s="3"/>
      <c r="C14" s="8"/>
      <c r="D14" s="8"/>
      <c r="E14" s="8"/>
      <c r="F14" s="8"/>
      <c r="G14" s="8"/>
      <c r="H14" s="8"/>
      <c r="I14" s="10"/>
    </row>
    <row r="15" spans="1:11">
      <c r="A15" s="3" t="s">
        <v>6</v>
      </c>
      <c r="B15" s="7" t="s">
        <v>34</v>
      </c>
      <c r="C15" s="8">
        <v>63185.21875</v>
      </c>
      <c r="D15" s="8">
        <v>81459.9609375</v>
      </c>
      <c r="E15" s="8">
        <v>98117.7265625</v>
      </c>
      <c r="F15" s="8">
        <v>119806.71875</v>
      </c>
      <c r="G15" s="8">
        <v>3421246</v>
      </c>
      <c r="H15" s="8">
        <v>175580.875</v>
      </c>
      <c r="I15" s="10"/>
    </row>
    <row r="16" spans="1:11">
      <c r="A16" s="3" t="s">
        <v>7</v>
      </c>
      <c r="B16" s="7" t="s">
        <v>35</v>
      </c>
      <c r="C16" s="8">
        <v>-46005.55859375</v>
      </c>
      <c r="D16" s="8">
        <v>-56861.53125</v>
      </c>
      <c r="E16" s="8">
        <v>-65870.140625</v>
      </c>
      <c r="F16" s="8">
        <v>-65390.4609375</v>
      </c>
      <c r="G16" s="8">
        <v>1250328.25</v>
      </c>
      <c r="H16" s="8">
        <v>-108965.640625</v>
      </c>
      <c r="I16" s="10"/>
    </row>
    <row r="17" spans="1:9">
      <c r="A17" s="3" t="s">
        <v>8</v>
      </c>
      <c r="B17" s="7" t="s">
        <v>36</v>
      </c>
      <c r="C17" s="11">
        <v>17179.66015625</v>
      </c>
      <c r="D17" s="11">
        <v>24598.4296875</v>
      </c>
      <c r="E17" s="11">
        <v>32247.5859375</v>
      </c>
      <c r="F17" s="11">
        <v>54416.2578125</v>
      </c>
      <c r="G17" s="11">
        <v>217091775</v>
      </c>
      <c r="H17" s="11">
        <v>66615.234375</v>
      </c>
      <c r="I17" s="10"/>
    </row>
    <row r="18" spans="1:9">
      <c r="A18" s="3" t="s">
        <v>37</v>
      </c>
      <c r="B18" s="7" t="s">
        <v>38</v>
      </c>
      <c r="C18" s="8">
        <v>0</v>
      </c>
      <c r="D18" s="8">
        <v>0</v>
      </c>
      <c r="E18" s="8">
        <v>0</v>
      </c>
      <c r="F18" s="8">
        <v>0</v>
      </c>
      <c r="G18" s="8">
        <v>0</v>
      </c>
      <c r="H18" s="8">
        <v>0</v>
      </c>
      <c r="I18" s="10"/>
    </row>
    <row r="19" spans="1:9">
      <c r="A19" s="3" t="s">
        <v>9</v>
      </c>
      <c r="B19" s="7" t="s">
        <v>39</v>
      </c>
      <c r="C19" s="8">
        <v>0</v>
      </c>
      <c r="D19" s="8">
        <v>0</v>
      </c>
      <c r="E19" s="8">
        <v>0</v>
      </c>
      <c r="F19" s="8">
        <v>0</v>
      </c>
      <c r="G19" s="8">
        <v>43275.45</v>
      </c>
      <c r="H19" s="8">
        <v>0</v>
      </c>
      <c r="I19" s="10"/>
    </row>
    <row r="20" spans="1:9">
      <c r="A20" s="2" t="s">
        <v>40</v>
      </c>
      <c r="B20" s="7" t="s">
        <v>41</v>
      </c>
      <c r="C20" s="11">
        <v>17179.66015625</v>
      </c>
      <c r="D20" s="11">
        <v>24598.4296875</v>
      </c>
      <c r="E20" s="11">
        <v>32247.5859375</v>
      </c>
      <c r="F20" s="11">
        <v>54416.2578125</v>
      </c>
      <c r="G20" s="11">
        <v>2214193.25</v>
      </c>
      <c r="H20" s="11">
        <v>66615.234375</v>
      </c>
      <c r="I20" s="10"/>
    </row>
    <row r="21" spans="1:9" ht="16.5" thickBot="1">
      <c r="A21" s="12" t="s">
        <v>42</v>
      </c>
      <c r="B21" s="13" t="s">
        <v>43</v>
      </c>
      <c r="C21" s="14">
        <v>268669.84765625</v>
      </c>
      <c r="D21" s="14">
        <v>255138.91279602051</v>
      </c>
      <c r="E21" s="14">
        <v>306948.28894042969</v>
      </c>
      <c r="F21" s="14">
        <v>250477.56323242188</v>
      </c>
      <c r="G21" s="14">
        <v>3443296.5</v>
      </c>
      <c r="H21" s="14">
        <v>493069.28125</v>
      </c>
      <c r="I21" s="10"/>
    </row>
    <row r="22" spans="1:9" ht="15.75" thickTop="1">
      <c r="A22" s="2" t="s">
        <v>44</v>
      </c>
      <c r="B22" s="3"/>
      <c r="C22" s="8"/>
      <c r="D22" s="8"/>
      <c r="E22" s="8"/>
      <c r="F22" s="8"/>
      <c r="G22" s="8"/>
      <c r="H22" s="8"/>
      <c r="I22" s="10"/>
    </row>
    <row r="23" spans="1:9">
      <c r="A23" s="2" t="s">
        <v>45</v>
      </c>
      <c r="B23" s="3"/>
      <c r="C23" s="8"/>
      <c r="D23" s="8"/>
      <c r="E23" s="8"/>
      <c r="F23" s="8"/>
      <c r="G23" s="8"/>
      <c r="H23" s="8"/>
      <c r="I23" s="10"/>
    </row>
    <row r="24" spans="1:9" ht="30">
      <c r="A24" s="3" t="s">
        <v>10</v>
      </c>
      <c r="B24" s="7" t="s">
        <v>46</v>
      </c>
      <c r="C24" s="8">
        <v>0</v>
      </c>
      <c r="D24" s="8">
        <v>0</v>
      </c>
      <c r="E24" s="8">
        <v>0</v>
      </c>
      <c r="F24" s="8">
        <v>42079.4609375</v>
      </c>
      <c r="G24" s="8">
        <v>0</v>
      </c>
      <c r="H24" s="8">
        <v>0</v>
      </c>
      <c r="I24" s="10"/>
    </row>
    <row r="25" spans="1:9">
      <c r="A25" s="3" t="s">
        <v>4</v>
      </c>
      <c r="B25" s="7" t="s">
        <v>47</v>
      </c>
      <c r="C25" s="8">
        <v>35012.48828125</v>
      </c>
      <c r="D25" s="8">
        <v>25586.419921875</v>
      </c>
      <c r="E25" s="8">
        <v>18344.400390625</v>
      </c>
      <c r="F25" s="8">
        <v>29538.259765625</v>
      </c>
      <c r="G25" s="8">
        <v>1083741</v>
      </c>
      <c r="H25" s="8">
        <v>0</v>
      </c>
      <c r="I25" s="10"/>
    </row>
    <row r="26" spans="1:9">
      <c r="A26" s="3" t="s">
        <v>5</v>
      </c>
      <c r="B26" s="7" t="s">
        <v>48</v>
      </c>
      <c r="C26" s="8">
        <v>13602.740234375</v>
      </c>
      <c r="D26" s="8">
        <v>6035.5498046875</v>
      </c>
      <c r="E26" s="8">
        <v>3609.679931640625</v>
      </c>
      <c r="F26" s="8">
        <v>6003.4599609375</v>
      </c>
      <c r="G26" s="8">
        <v>417199.5</v>
      </c>
      <c r="H26" s="8">
        <v>0</v>
      </c>
      <c r="I26" s="10"/>
    </row>
    <row r="27" spans="1:9">
      <c r="A27" s="2" t="s">
        <v>49</v>
      </c>
      <c r="B27" s="7" t="s">
        <v>50</v>
      </c>
      <c r="C27" s="11">
        <v>48615.228515625</v>
      </c>
      <c r="D27" s="11">
        <v>31621.9697265625</v>
      </c>
      <c r="E27" s="11">
        <v>21954.080322265625</v>
      </c>
      <c r="F27" s="11">
        <v>77621.1806640625</v>
      </c>
      <c r="G27" s="11">
        <v>1797580.125</v>
      </c>
      <c r="H27" s="11">
        <v>0</v>
      </c>
      <c r="I27" s="10"/>
    </row>
    <row r="28" spans="1:9">
      <c r="A28" s="2" t="s">
        <v>51</v>
      </c>
      <c r="B28" s="3"/>
      <c r="C28" s="8"/>
      <c r="D28" s="8"/>
      <c r="E28" s="8"/>
      <c r="F28" s="8"/>
      <c r="G28" s="8"/>
      <c r="H28" s="8"/>
      <c r="I28" s="10"/>
    </row>
    <row r="29" spans="1:9">
      <c r="A29" s="3" t="s">
        <v>52</v>
      </c>
      <c r="B29" s="7" t="s">
        <v>53</v>
      </c>
      <c r="C29" s="8">
        <v>92149.7578125</v>
      </c>
      <c r="D29" s="8">
        <v>92149.7578125</v>
      </c>
      <c r="E29" s="8">
        <v>162287.640625</v>
      </c>
      <c r="F29" s="8">
        <v>58570.28125</v>
      </c>
      <c r="G29" s="8">
        <v>451915.25</v>
      </c>
      <c r="H29" s="8">
        <v>252430.296875</v>
      </c>
      <c r="I29" s="10"/>
    </row>
    <row r="30" spans="1:9">
      <c r="A30" s="3" t="s">
        <v>11</v>
      </c>
      <c r="B30" s="7" t="s">
        <v>54</v>
      </c>
      <c r="C30" s="8">
        <v>0</v>
      </c>
      <c r="D30" s="8">
        <v>43011.80859375</v>
      </c>
      <c r="E30" s="8">
        <v>36991.03125</v>
      </c>
      <c r="F30" s="8">
        <v>0</v>
      </c>
      <c r="G30" s="8">
        <v>403256.40625</v>
      </c>
      <c r="H30" s="8">
        <v>0</v>
      </c>
      <c r="I30" s="10"/>
    </row>
    <row r="31" spans="1:9">
      <c r="A31" s="2" t="s">
        <v>55</v>
      </c>
      <c r="B31" s="7" t="s">
        <v>56</v>
      </c>
      <c r="C31" s="11">
        <v>92149.7578125</v>
      </c>
      <c r="D31" s="11">
        <v>135161.56640625</v>
      </c>
      <c r="E31" s="11">
        <v>199278.671875</v>
      </c>
      <c r="F31" s="11">
        <v>58570.28125</v>
      </c>
      <c r="G31" s="11">
        <v>855171.625</v>
      </c>
      <c r="H31" s="11">
        <v>252430.296875</v>
      </c>
      <c r="I31" s="10"/>
    </row>
    <row r="32" spans="1:9">
      <c r="A32" s="2" t="s">
        <v>57</v>
      </c>
      <c r="B32" s="7" t="s">
        <v>58</v>
      </c>
      <c r="C32" s="11">
        <v>140764.986328125</v>
      </c>
      <c r="D32" s="11">
        <v>166783.5361328125</v>
      </c>
      <c r="E32" s="11">
        <v>221232.75219726563</v>
      </c>
      <c r="F32" s="11">
        <v>136191.4619140625</v>
      </c>
      <c r="G32" s="11">
        <v>2652751.75</v>
      </c>
      <c r="H32" s="11">
        <v>252430.296875</v>
      </c>
      <c r="I32" s="10"/>
    </row>
    <row r="33" spans="1:22">
      <c r="A33" s="2" t="s">
        <v>59</v>
      </c>
      <c r="B33" s="3"/>
      <c r="C33" s="8"/>
      <c r="D33" s="8"/>
      <c r="E33" s="8"/>
      <c r="F33" s="8"/>
      <c r="G33" s="8"/>
      <c r="H33" s="8"/>
      <c r="I33" s="10"/>
    </row>
    <row r="34" spans="1:22">
      <c r="A34" s="3" t="s">
        <v>12</v>
      </c>
      <c r="B34" s="7" t="s">
        <v>12</v>
      </c>
      <c r="C34" s="8">
        <v>20680</v>
      </c>
      <c r="D34" s="8">
        <v>20680</v>
      </c>
      <c r="E34" s="8">
        <v>20680</v>
      </c>
      <c r="F34" s="8">
        <v>20680</v>
      </c>
      <c r="G34" s="8">
        <v>832316</v>
      </c>
      <c r="H34" s="8">
        <v>20680</v>
      </c>
      <c r="I34" s="10"/>
    </row>
    <row r="35" spans="1:22">
      <c r="A35" s="3" t="s">
        <v>13</v>
      </c>
      <c r="B35" s="7" t="s">
        <v>60</v>
      </c>
      <c r="C35" s="8">
        <v>0</v>
      </c>
      <c r="D35" s="8">
        <v>0</v>
      </c>
      <c r="E35" s="8">
        <v>0</v>
      </c>
      <c r="F35" s="8">
        <v>0</v>
      </c>
      <c r="G35" s="8">
        <v>20995.140625</v>
      </c>
      <c r="H35" s="8">
        <v>0</v>
      </c>
      <c r="I35" s="10"/>
    </row>
    <row r="36" spans="1:22">
      <c r="A36" s="3" t="s">
        <v>14</v>
      </c>
      <c r="B36" s="7" t="s">
        <v>61</v>
      </c>
      <c r="C36" s="8">
        <v>96717.7734375</v>
      </c>
      <c r="D36" s="8">
        <v>96717.7734375</v>
      </c>
      <c r="E36" s="8">
        <v>60657.25</v>
      </c>
      <c r="F36" s="8">
        <v>65035.5390625</v>
      </c>
      <c r="G36" s="8">
        <v>-60976.3671875</v>
      </c>
      <c r="H36" s="8">
        <v>92757.15625</v>
      </c>
      <c r="I36" s="10"/>
    </row>
    <row r="37" spans="1:22">
      <c r="A37" s="15" t="s">
        <v>62</v>
      </c>
      <c r="B37" s="3"/>
      <c r="C37" s="8">
        <v>10507.08984375</v>
      </c>
      <c r="D37" s="8">
        <v>-29042.400390625</v>
      </c>
      <c r="E37" s="8">
        <v>4378.2900390625</v>
      </c>
      <c r="F37" s="8">
        <v>28570.560546875</v>
      </c>
      <c r="G37" s="8">
        <v>-1789.72</v>
      </c>
      <c r="H37" s="8">
        <v>127201.8203125</v>
      </c>
      <c r="I37" s="10"/>
    </row>
    <row r="38" spans="1:22">
      <c r="A38" s="2" t="s">
        <v>63</v>
      </c>
      <c r="B38" s="7" t="s">
        <v>64</v>
      </c>
      <c r="C38" s="11">
        <v>127904.86328125</v>
      </c>
      <c r="D38" s="11">
        <v>88355.373046875</v>
      </c>
      <c r="E38" s="11">
        <v>85715.5400390625</v>
      </c>
      <c r="F38" s="11">
        <v>114286.099609375</v>
      </c>
      <c r="G38" s="11">
        <v>790545.06</v>
      </c>
      <c r="H38" s="11">
        <v>240638.9765625</v>
      </c>
      <c r="I38" s="10"/>
    </row>
    <row r="39" spans="1:22" ht="16.5" thickBot="1">
      <c r="A39" s="2" t="s">
        <v>65</v>
      </c>
      <c r="B39" s="7" t="s">
        <v>66</v>
      </c>
      <c r="C39" s="14">
        <v>268669.849609375</v>
      </c>
      <c r="D39" s="14">
        <v>255138.9091796875</v>
      </c>
      <c r="E39" s="14">
        <v>306948.29223632813</v>
      </c>
      <c r="F39" s="14">
        <v>250477.5615234375</v>
      </c>
      <c r="G39" s="14">
        <v>3443296.75</v>
      </c>
      <c r="H39" s="14">
        <v>493069.2734375</v>
      </c>
      <c r="I39" s="10"/>
    </row>
    <row r="40" spans="1:22" ht="15.75" thickTop="1">
      <c r="A40" s="3"/>
      <c r="B40" s="3"/>
      <c r="C40" s="16">
        <v>1.953125E-3</v>
      </c>
      <c r="D40" s="16">
        <v>-3.6163330078125E-3</v>
      </c>
      <c r="E40" s="16">
        <v>3.2958984375E-3</v>
      </c>
      <c r="F40" s="16">
        <v>-1.708984375E-3</v>
      </c>
      <c r="G40" s="16">
        <v>9.27734375E-3</v>
      </c>
      <c r="H40" s="16">
        <v>-7.8125E-3</v>
      </c>
    </row>
    <row r="41" spans="1:22">
      <c r="A41" s="3"/>
      <c r="B41" s="3"/>
      <c r="C41" s="3"/>
      <c r="D41" s="3"/>
      <c r="E41" s="3"/>
      <c r="F41" s="3"/>
      <c r="G41" s="3"/>
      <c r="H41" s="3"/>
    </row>
    <row r="42" spans="1:22">
      <c r="A42" s="3"/>
      <c r="B42" s="3"/>
      <c r="C42" s="3"/>
      <c r="D42" s="3"/>
      <c r="E42" s="3"/>
      <c r="F42" s="3"/>
      <c r="G42" s="3"/>
      <c r="H42" s="3"/>
    </row>
    <row r="43" spans="1:22" ht="36" customHeight="1">
      <c r="A43" s="183" t="s">
        <v>238</v>
      </c>
      <c r="B43" s="183"/>
      <c r="C43" s="183"/>
      <c r="D43" s="183"/>
      <c r="E43" s="183"/>
      <c r="F43" s="183"/>
      <c r="G43" s="183"/>
      <c r="H43" s="183"/>
      <c r="J43" s="193" t="s">
        <v>217</v>
      </c>
      <c r="K43" s="194"/>
      <c r="L43" s="194"/>
      <c r="M43" s="195"/>
    </row>
    <row r="44" spans="1:22" ht="18.75">
      <c r="A44" s="182" t="s">
        <v>67</v>
      </c>
      <c r="B44" s="182"/>
      <c r="C44" s="182"/>
      <c r="D44" s="182"/>
      <c r="E44" s="182"/>
      <c r="F44" s="182"/>
      <c r="G44" s="182"/>
      <c r="H44" s="182"/>
      <c r="J44" s="196"/>
      <c r="K44" s="188"/>
      <c r="L44" s="188"/>
      <c r="M44" s="197"/>
    </row>
    <row r="45" spans="1:22" ht="15.75" thickBot="1">
      <c r="A45" s="3" t="s">
        <v>121</v>
      </c>
      <c r="B45" s="3"/>
      <c r="C45" s="3"/>
      <c r="D45" s="3"/>
      <c r="E45" s="3"/>
      <c r="F45" s="3"/>
      <c r="G45" s="3"/>
      <c r="H45" s="3"/>
      <c r="J45" s="190" t="s">
        <v>119</v>
      </c>
      <c r="K45" s="190"/>
      <c r="L45" s="190" t="s">
        <v>120</v>
      </c>
      <c r="M45" s="190"/>
    </row>
    <row r="46" spans="1:22" ht="15.75" thickBot="1">
      <c r="A46" s="3"/>
      <c r="B46" s="3"/>
      <c r="C46" s="6">
        <v>2015</v>
      </c>
      <c r="D46" s="6">
        <v>2016</v>
      </c>
      <c r="E46" s="6">
        <v>2017</v>
      </c>
      <c r="F46" s="6">
        <v>2018</v>
      </c>
      <c r="G46" s="6">
        <v>2019</v>
      </c>
      <c r="H46" s="6">
        <v>2020</v>
      </c>
      <c r="J46" s="17" t="s">
        <v>90</v>
      </c>
      <c r="K46" s="17" t="s">
        <v>91</v>
      </c>
      <c r="L46" s="18" t="s">
        <v>99</v>
      </c>
      <c r="M46" s="19"/>
    </row>
    <row r="47" spans="1:22">
      <c r="A47" s="3" t="s">
        <v>15</v>
      </c>
      <c r="B47" s="7" t="s">
        <v>68</v>
      </c>
      <c r="C47" s="8">
        <v>672177.625</v>
      </c>
      <c r="D47" s="8">
        <v>373486.40625</v>
      </c>
      <c r="E47" s="8">
        <v>481311.4375</v>
      </c>
      <c r="F47" s="8">
        <v>676965.0625</v>
      </c>
      <c r="G47" s="8">
        <v>2465163</v>
      </c>
      <c r="H47" s="8">
        <v>1799479.75</v>
      </c>
      <c r="J47" s="20"/>
      <c r="K47" s="20"/>
      <c r="L47" s="21"/>
      <c r="M47" s="21"/>
      <c r="N47" s="201" t="s">
        <v>213</v>
      </c>
      <c r="O47" s="201"/>
      <c r="P47" s="201"/>
      <c r="Q47" s="202"/>
      <c r="S47" s="203" t="s">
        <v>214</v>
      </c>
      <c r="T47" s="201"/>
      <c r="U47" s="201"/>
      <c r="V47" s="202"/>
    </row>
    <row r="48" spans="1:22">
      <c r="A48" s="3" t="s">
        <v>16</v>
      </c>
      <c r="B48" s="7" t="s">
        <v>69</v>
      </c>
      <c r="C48" s="8">
        <v>502087.3125</v>
      </c>
      <c r="D48" s="8">
        <v>207300.796875</v>
      </c>
      <c r="E48" s="8">
        <v>266702.03125</v>
      </c>
      <c r="F48" s="8">
        <v>398476.71875</v>
      </c>
      <c r="G48" s="1">
        <v>1109092.875</v>
      </c>
      <c r="H48" s="8">
        <v>968683.4375</v>
      </c>
      <c r="J48" s="20">
        <f>G48*20%</f>
        <v>221818.57500000001</v>
      </c>
      <c r="K48" s="20">
        <f>G48*80%</f>
        <v>887274.3</v>
      </c>
      <c r="L48" s="20">
        <f>K48/$Q$64</f>
        <v>35.992520575718522</v>
      </c>
      <c r="M48" s="20"/>
      <c r="N48" s="22">
        <f>J48</f>
        <v>221818.57500000001</v>
      </c>
      <c r="O48" s="23">
        <f>N48/N49</f>
        <v>4.2369113248811505</v>
      </c>
      <c r="P48" s="24"/>
      <c r="Q48" s="25"/>
      <c r="S48" s="26">
        <f>J48</f>
        <v>221818.57500000001</v>
      </c>
      <c r="T48" s="23">
        <f>S48/S49</f>
        <v>8.9981301439296306</v>
      </c>
      <c r="U48" s="24"/>
      <c r="V48" s="25"/>
    </row>
    <row r="49" spans="1:22">
      <c r="A49" s="27" t="s">
        <v>70</v>
      </c>
      <c r="B49" s="7" t="s">
        <v>71</v>
      </c>
      <c r="C49" s="11">
        <v>170090.3125</v>
      </c>
      <c r="D49" s="11">
        <v>166185.609375</v>
      </c>
      <c r="E49" s="11">
        <v>214609.40625</v>
      </c>
      <c r="F49" s="11">
        <v>278488.34375</v>
      </c>
      <c r="G49" s="11">
        <f>G47-G48</f>
        <v>1356070.125</v>
      </c>
      <c r="H49" s="11">
        <v>830796.3125</v>
      </c>
      <c r="J49" s="20"/>
      <c r="K49" s="20"/>
      <c r="L49" s="20"/>
      <c r="M49" s="20"/>
      <c r="N49" s="28">
        <f>N106</f>
        <v>52353.839387049775</v>
      </c>
      <c r="O49" s="29"/>
      <c r="P49" s="29"/>
      <c r="Q49" s="30"/>
      <c r="S49" s="31">
        <f>G106</f>
        <v>24651.63</v>
      </c>
      <c r="T49" s="29"/>
      <c r="U49" s="29"/>
      <c r="V49" s="30"/>
    </row>
    <row r="50" spans="1:22">
      <c r="A50" s="3" t="s">
        <v>72</v>
      </c>
      <c r="B50" s="7" t="s">
        <v>73</v>
      </c>
      <c r="C50" s="8">
        <v>128454.1171875</v>
      </c>
      <c r="D50" s="8">
        <v>172298.0625</v>
      </c>
      <c r="E50" s="8">
        <v>174914.453125</v>
      </c>
      <c r="F50" s="8">
        <v>204356.953125</v>
      </c>
      <c r="G50" s="32">
        <v>1024585.875</v>
      </c>
      <c r="H50" s="8">
        <v>584424.5625</v>
      </c>
      <c r="J50" s="20">
        <f>G50*80%</f>
        <v>819668.70000000007</v>
      </c>
      <c r="K50" s="20">
        <f>G50*20%</f>
        <v>204917.17500000002</v>
      </c>
      <c r="L50" s="20">
        <f>K50/$Q$64</f>
        <v>8.3125203079877483</v>
      </c>
      <c r="M50" s="20"/>
      <c r="N50" s="201" t="s">
        <v>215</v>
      </c>
      <c r="O50" s="201"/>
      <c r="P50" s="201"/>
      <c r="Q50" s="202"/>
      <c r="S50" s="203" t="s">
        <v>216</v>
      </c>
      <c r="T50" s="201"/>
      <c r="U50" s="201"/>
      <c r="V50" s="202"/>
    </row>
    <row r="51" spans="1:22">
      <c r="A51" s="3" t="s">
        <v>74</v>
      </c>
      <c r="B51" s="7"/>
      <c r="C51" s="8">
        <v>18912.3203125</v>
      </c>
      <c r="D51" s="8">
        <v>12402.9296875</v>
      </c>
      <c r="E51" s="8">
        <v>18220.048828125</v>
      </c>
      <c r="F51" s="8">
        <v>18207.189453125</v>
      </c>
      <c r="G51" s="32">
        <v>28378.2890625</v>
      </c>
      <c r="H51" s="8">
        <v>51522.640625</v>
      </c>
      <c r="J51" s="20">
        <f>G51*30%</f>
        <v>8513.4867187500004</v>
      </c>
      <c r="K51" s="20">
        <f>G51*70%</f>
        <v>19864.802343749998</v>
      </c>
      <c r="L51" s="20">
        <f>K51/$Q$64</f>
        <v>0.80582104890224282</v>
      </c>
      <c r="M51" s="20"/>
      <c r="N51" s="33" t="s">
        <v>205</v>
      </c>
      <c r="O51" s="24"/>
      <c r="P51" s="24"/>
      <c r="Q51" s="25"/>
      <c r="S51" s="34" t="s">
        <v>205</v>
      </c>
      <c r="T51" s="24"/>
      <c r="U51" s="24"/>
      <c r="V51" s="25"/>
    </row>
    <row r="52" spans="1:22">
      <c r="A52" s="3" t="s">
        <v>17</v>
      </c>
      <c r="B52" s="7" t="s">
        <v>75</v>
      </c>
      <c r="C52" s="8">
        <v>10362.5693359375</v>
      </c>
      <c r="D52" s="8">
        <v>10527.0302734375</v>
      </c>
      <c r="E52" s="8">
        <v>10527.0400390625</v>
      </c>
      <c r="F52" s="8">
        <v>10267.650390625</v>
      </c>
      <c r="G52" s="32">
        <v>431939.3125</v>
      </c>
      <c r="H52" s="8">
        <v>31844.98046875</v>
      </c>
      <c r="J52" s="20">
        <f>G52*100%</f>
        <v>431939.3125</v>
      </c>
      <c r="K52" s="20"/>
      <c r="L52" s="20"/>
      <c r="M52" s="20"/>
      <c r="N52" s="35">
        <f>L48</f>
        <v>35.992520575718522</v>
      </c>
      <c r="O52" s="29" t="s">
        <v>116</v>
      </c>
      <c r="P52" s="35">
        <f>O48</f>
        <v>4.2369113248811505</v>
      </c>
      <c r="Q52" s="36">
        <f>N52+P52</f>
        <v>40.229431900599671</v>
      </c>
      <c r="S52" s="37">
        <f>L48</f>
        <v>35.992520575718522</v>
      </c>
      <c r="T52" s="29" t="s">
        <v>116</v>
      </c>
      <c r="U52" s="35">
        <f>T48</f>
        <v>8.9981301439296306</v>
      </c>
      <c r="V52" s="36">
        <f>S52+U52</f>
        <v>44.990650719648151</v>
      </c>
    </row>
    <row r="53" spans="1:22">
      <c r="A53" s="3" t="s">
        <v>18</v>
      </c>
      <c r="B53" s="7" t="s">
        <v>76</v>
      </c>
      <c r="C53" s="8">
        <v>0</v>
      </c>
      <c r="D53" s="8">
        <v>0</v>
      </c>
      <c r="E53" s="8">
        <v>0</v>
      </c>
      <c r="F53" s="8">
        <v>0</v>
      </c>
      <c r="G53" s="8">
        <v>238134.734375</v>
      </c>
      <c r="H53" s="8">
        <v>0</v>
      </c>
      <c r="J53" s="20">
        <f>G53*25%</f>
        <v>59533.68359375</v>
      </c>
      <c r="K53" s="20">
        <f>G53*75%</f>
        <v>178601.05078125</v>
      </c>
      <c r="L53" s="20"/>
      <c r="M53" s="20"/>
    </row>
    <row r="54" spans="1:22" ht="26.25">
      <c r="A54" s="38" t="s">
        <v>77</v>
      </c>
      <c r="B54" s="3"/>
      <c r="C54" s="39">
        <v>12361.3056640625</v>
      </c>
      <c r="D54" s="39">
        <v>-29042.4130859375</v>
      </c>
      <c r="E54" s="39">
        <v>10947.8642578125</v>
      </c>
      <c r="F54" s="39">
        <v>45656.55078125</v>
      </c>
      <c r="G54" s="39">
        <f>G49-G50-G51-G52-G53</f>
        <v>-366968.0859375</v>
      </c>
      <c r="H54" s="39">
        <v>163004.12890625</v>
      </c>
      <c r="J54" s="40"/>
      <c r="K54" s="20"/>
      <c r="L54" s="20"/>
      <c r="M54" s="20"/>
    </row>
    <row r="55" spans="1:22">
      <c r="A55" s="3" t="s">
        <v>19</v>
      </c>
      <c r="B55" s="7" t="s">
        <v>78</v>
      </c>
      <c r="C55" s="41">
        <v>0</v>
      </c>
      <c r="D55" s="41">
        <v>0</v>
      </c>
      <c r="E55" s="41">
        <v>6569.580078125</v>
      </c>
      <c r="F55" s="41">
        <v>17085.98046875</v>
      </c>
      <c r="G55" s="42">
        <v>92055.6875</v>
      </c>
      <c r="H55" s="41">
        <v>35802.3828125</v>
      </c>
      <c r="J55" s="20">
        <f>G55</f>
        <v>92055.6875</v>
      </c>
      <c r="K55" s="20"/>
      <c r="L55" s="20"/>
      <c r="M55" s="20"/>
    </row>
    <row r="56" spans="1:22">
      <c r="A56" s="38" t="s">
        <v>20</v>
      </c>
      <c r="B56" s="3"/>
      <c r="C56" s="39">
        <v>12361.3056640625</v>
      </c>
      <c r="D56" s="39">
        <v>-29042.4130859375</v>
      </c>
      <c r="E56" s="39">
        <v>4378.2841796875</v>
      </c>
      <c r="F56" s="39">
        <v>28570.5703125</v>
      </c>
      <c r="G56" s="39">
        <f>G54-G55</f>
        <v>-459023.7734375</v>
      </c>
      <c r="H56" s="39">
        <v>127201.74609375</v>
      </c>
      <c r="J56" s="20"/>
      <c r="K56" s="20"/>
      <c r="L56" s="20"/>
      <c r="M56" s="20"/>
    </row>
    <row r="57" spans="1:22">
      <c r="A57" s="43" t="s">
        <v>79</v>
      </c>
      <c r="B57" s="3"/>
      <c r="C57" s="8">
        <v>1854.18994140625</v>
      </c>
      <c r="D57" s="8">
        <v>0</v>
      </c>
      <c r="E57" s="8">
        <v>656.739990234375</v>
      </c>
      <c r="F57" s="8">
        <v>4285.580078125</v>
      </c>
      <c r="G57" s="8">
        <v>2586.86010742187</v>
      </c>
      <c r="H57" s="8">
        <v>19080.26953125</v>
      </c>
      <c r="J57" s="20"/>
      <c r="K57" s="20"/>
      <c r="L57" s="20"/>
      <c r="M57" s="20"/>
    </row>
    <row r="58" spans="1:22">
      <c r="A58" s="3" t="s">
        <v>21</v>
      </c>
      <c r="B58" s="3" t="s">
        <v>80</v>
      </c>
      <c r="C58" s="41">
        <v>4189.27001953125</v>
      </c>
      <c r="D58" s="41">
        <v>4990.60009765625</v>
      </c>
      <c r="E58" s="41">
        <v>6176.31982421875</v>
      </c>
      <c r="F58" s="41">
        <v>6905.47021484375</v>
      </c>
      <c r="G58" s="41">
        <v>7652.06005859375</v>
      </c>
      <c r="H58" s="41">
        <v>43196.44140625</v>
      </c>
      <c r="J58" s="20"/>
      <c r="K58" s="20"/>
      <c r="L58" s="20"/>
      <c r="M58" s="20"/>
    </row>
    <row r="59" spans="1:22" ht="27" thickBot="1">
      <c r="A59" s="38" t="s">
        <v>22</v>
      </c>
      <c r="B59" s="3"/>
      <c r="C59" s="44">
        <v>6317.845703125</v>
      </c>
      <c r="D59" s="44">
        <v>-34033.01318359375</v>
      </c>
      <c r="E59" s="44">
        <v>-2454.775634765625</v>
      </c>
      <c r="F59" s="44">
        <v>17379.52001953125</v>
      </c>
      <c r="G59" s="44">
        <f>G56-G57-G58</f>
        <v>-469262.69360351563</v>
      </c>
      <c r="H59" s="44">
        <v>64925.03515625</v>
      </c>
      <c r="J59" s="45">
        <f>SUM(J47:J58)</f>
        <v>1633529.4453125002</v>
      </c>
      <c r="K59" s="46">
        <f>SUM(K47:K58)</f>
        <v>1290657.328125</v>
      </c>
      <c r="L59" s="46">
        <f>J59+K59</f>
        <v>2924186.7734375</v>
      </c>
      <c r="M59" s="47">
        <f>G48+G50+G51+G52+G55-L59</f>
        <v>-238134.734375</v>
      </c>
    </row>
    <row r="60" spans="1:22" ht="15.75" thickTop="1">
      <c r="A60" s="3"/>
      <c r="B60" s="3"/>
      <c r="C60" s="16">
        <v>-4189.244140625</v>
      </c>
      <c r="D60" s="16">
        <v>-4990.61279296875</v>
      </c>
      <c r="E60" s="16">
        <v>-6833.065673828125</v>
      </c>
      <c r="F60" s="16">
        <v>-11191.04052734375</v>
      </c>
      <c r="G60" s="16"/>
      <c r="H60" s="16">
        <v>-62276.78515625</v>
      </c>
      <c r="J60" s="48"/>
      <c r="K60" s="48"/>
    </row>
    <row r="61" spans="1:22">
      <c r="A61" s="3"/>
      <c r="B61" s="3"/>
      <c r="C61" s="3"/>
      <c r="D61" s="3"/>
      <c r="E61" s="7"/>
      <c r="F61" s="7"/>
      <c r="G61" s="16"/>
      <c r="H61" s="3"/>
      <c r="J61" s="49" t="s">
        <v>92</v>
      </c>
      <c r="K61" s="4" t="s">
        <v>100</v>
      </c>
      <c r="L61" s="50">
        <v>100</v>
      </c>
      <c r="O61" s="51" t="s">
        <v>103</v>
      </c>
      <c r="Q61" s="52">
        <f>G47</f>
        <v>2465163</v>
      </c>
    </row>
    <row r="62" spans="1:22">
      <c r="A62" s="3"/>
      <c r="B62" s="3"/>
      <c r="C62" s="3"/>
      <c r="D62" s="3"/>
      <c r="E62" s="7"/>
      <c r="F62" s="7"/>
      <c r="G62" s="3"/>
      <c r="H62" s="3"/>
      <c r="K62" s="53" t="s">
        <v>101</v>
      </c>
      <c r="L62" s="29" t="s">
        <v>102</v>
      </c>
      <c r="M62" s="48">
        <f>K59</f>
        <v>1290657.328125</v>
      </c>
      <c r="N62" s="54">
        <f>M62/M63</f>
        <v>52.355861585014864</v>
      </c>
      <c r="Q62" s="55">
        <f>L61</f>
        <v>100</v>
      </c>
    </row>
    <row r="63" spans="1:22" ht="35.25" customHeight="1">
      <c r="A63" s="189" t="s">
        <v>238</v>
      </c>
      <c r="B63" s="189"/>
      <c r="C63" s="189"/>
      <c r="D63" s="189"/>
      <c r="E63" s="189"/>
      <c r="F63" s="189"/>
      <c r="G63" s="189"/>
      <c r="H63" s="189"/>
      <c r="L63" s="4" t="s">
        <v>94</v>
      </c>
      <c r="M63" s="56">
        <f>Q64</f>
        <v>24651.63</v>
      </c>
    </row>
    <row r="64" spans="1:22" ht="19.5" thickBot="1">
      <c r="A64" s="182" t="s">
        <v>81</v>
      </c>
      <c r="B64" s="182"/>
      <c r="C64" s="182"/>
      <c r="D64" s="182"/>
      <c r="E64" s="182"/>
      <c r="F64" s="182"/>
      <c r="G64" s="182"/>
      <c r="H64" s="182"/>
      <c r="Q64" s="56">
        <f>Q61/Q62</f>
        <v>24651.63</v>
      </c>
      <c r="R64" s="4" t="s">
        <v>104</v>
      </c>
    </row>
    <row r="65" spans="1:11" ht="15.75" thickBot="1">
      <c r="A65" s="3" t="s">
        <v>248</v>
      </c>
      <c r="B65" s="3"/>
      <c r="C65" s="6">
        <v>2015</v>
      </c>
      <c r="D65" s="6">
        <v>2016</v>
      </c>
      <c r="E65" s="6">
        <v>2017</v>
      </c>
      <c r="F65" s="6">
        <v>2018</v>
      </c>
      <c r="G65" s="6">
        <v>2019</v>
      </c>
      <c r="H65" s="6">
        <v>2020</v>
      </c>
      <c r="J65" s="9"/>
    </row>
    <row r="66" spans="1:11">
      <c r="A66" s="57" t="s">
        <v>16</v>
      </c>
      <c r="B66" s="3"/>
      <c r="C66" s="58"/>
      <c r="D66" s="3"/>
      <c r="E66" s="3"/>
      <c r="F66" s="3"/>
      <c r="G66" s="3"/>
      <c r="H66" s="3"/>
      <c r="J66" s="9"/>
    </row>
    <row r="67" spans="1:11">
      <c r="A67" s="3" t="s">
        <v>82</v>
      </c>
      <c r="B67" s="7" t="s">
        <v>83</v>
      </c>
      <c r="C67" s="59">
        <v>220230.96875</v>
      </c>
      <c r="D67" s="59">
        <v>103701.65625</v>
      </c>
      <c r="E67" s="59">
        <v>69648.53125</v>
      </c>
      <c r="F67" s="59">
        <v>102889.3359375</v>
      </c>
      <c r="G67" s="59">
        <v>238408.890625</v>
      </c>
      <c r="H67" s="59">
        <v>16000</v>
      </c>
    </row>
    <row r="68" spans="1:11">
      <c r="A68" s="3" t="s">
        <v>84</v>
      </c>
      <c r="B68" s="7" t="s">
        <v>84</v>
      </c>
      <c r="C68" s="59">
        <v>385558</v>
      </c>
      <c r="D68" s="59">
        <v>197141.3125</v>
      </c>
      <c r="E68" s="59">
        <v>299942.84375</v>
      </c>
      <c r="F68" s="59">
        <v>342341.125</v>
      </c>
      <c r="G68" s="59">
        <v>1454726.375</v>
      </c>
      <c r="H68" s="59">
        <v>969958.4375</v>
      </c>
    </row>
    <row r="69" spans="1:11">
      <c r="A69" s="3" t="s">
        <v>85</v>
      </c>
      <c r="B69" s="7" t="s">
        <v>86</v>
      </c>
      <c r="C69" s="59">
        <v>-103701.65625</v>
      </c>
      <c r="D69" s="59">
        <v>-93542.171875</v>
      </c>
      <c r="E69" s="59">
        <v>-102889.3359375</v>
      </c>
      <c r="F69" s="59">
        <v>-46753.75</v>
      </c>
      <c r="G69" s="59">
        <v>584042.4375</v>
      </c>
      <c r="H69" s="59">
        <v>-17275</v>
      </c>
    </row>
    <row r="70" spans="1:11">
      <c r="A70" s="3" t="s">
        <v>87</v>
      </c>
      <c r="B70" s="7" t="s">
        <v>88</v>
      </c>
      <c r="C70" s="59">
        <v>0</v>
      </c>
      <c r="D70" s="59">
        <v>0</v>
      </c>
      <c r="E70" s="59">
        <v>0</v>
      </c>
      <c r="F70" s="59">
        <v>0</v>
      </c>
      <c r="G70" s="59">
        <v>0</v>
      </c>
      <c r="H70" s="59">
        <v>0</v>
      </c>
    </row>
    <row r="71" spans="1:11" ht="15.75" thickBot="1">
      <c r="A71" s="3" t="s">
        <v>89</v>
      </c>
      <c r="B71" s="3"/>
      <c r="C71" s="60">
        <v>502087.3125</v>
      </c>
      <c r="D71" s="60">
        <v>207300.796875</v>
      </c>
      <c r="E71" s="60">
        <v>266702.0390625</v>
      </c>
      <c r="F71" s="60">
        <v>398476.7109375</v>
      </c>
      <c r="G71" s="60">
        <f>SUM(G67:G70)</f>
        <v>2277177.703125</v>
      </c>
      <c r="H71" s="60">
        <v>968683.4375</v>
      </c>
    </row>
    <row r="72" spans="1:11" ht="15.75" thickTop="1">
      <c r="A72" s="3"/>
      <c r="B72" s="3"/>
      <c r="C72" s="58">
        <v>0</v>
      </c>
      <c r="D72" s="58">
        <v>0</v>
      </c>
      <c r="E72" s="58">
        <v>7.8125E-3</v>
      </c>
      <c r="F72" s="58">
        <v>-7.8125E-3</v>
      </c>
      <c r="G72" s="58">
        <v>0</v>
      </c>
      <c r="H72" s="58">
        <v>0</v>
      </c>
    </row>
    <row r="74" spans="1:11">
      <c r="A74" s="61" t="s">
        <v>93</v>
      </c>
    </row>
    <row r="76" spans="1:11">
      <c r="A76" s="187" t="s">
        <v>94</v>
      </c>
      <c r="G76" s="187" t="s">
        <v>95</v>
      </c>
      <c r="I76" s="188" t="s">
        <v>96</v>
      </c>
      <c r="J76" s="188"/>
      <c r="K76" s="188"/>
    </row>
    <row r="77" spans="1:11">
      <c r="A77" s="187"/>
      <c r="G77" s="187"/>
      <c r="I77" s="49" t="s">
        <v>97</v>
      </c>
      <c r="J77" s="49" t="s">
        <v>98</v>
      </c>
      <c r="K77" s="49" t="s">
        <v>99</v>
      </c>
    </row>
    <row r="78" spans="1:11">
      <c r="G78" s="187" t="s">
        <v>95</v>
      </c>
      <c r="I78" s="185">
        <f>J59</f>
        <v>1633529.4453125002</v>
      </c>
      <c r="J78" s="186"/>
      <c r="K78" s="186"/>
    </row>
    <row r="79" spans="1:11">
      <c r="G79" s="187"/>
      <c r="I79" s="62">
        <f>L61</f>
        <v>100</v>
      </c>
      <c r="J79" s="63" t="s">
        <v>98</v>
      </c>
      <c r="K79" s="62">
        <f>N62</f>
        <v>52.355861585014864</v>
      </c>
    </row>
    <row r="80" spans="1:11">
      <c r="G80" s="187" t="s">
        <v>95</v>
      </c>
      <c r="I80" s="185">
        <f>I78</f>
        <v>1633529.4453125002</v>
      </c>
      <c r="J80" s="186"/>
      <c r="K80" s="186"/>
    </row>
    <row r="81" spans="1:12">
      <c r="G81" s="187"/>
      <c r="I81" s="62"/>
      <c r="J81" s="62">
        <f>I79-K79</f>
        <v>47.644138414985136</v>
      </c>
      <c r="K81" s="62"/>
    </row>
    <row r="82" spans="1:12">
      <c r="G82" s="187" t="s">
        <v>95</v>
      </c>
      <c r="I82" s="56">
        <f>I80/J81</f>
        <v>34286.052800121979</v>
      </c>
      <c r="J82" s="4" t="s">
        <v>104</v>
      </c>
    </row>
    <row r="83" spans="1:12">
      <c r="G83" s="187"/>
    </row>
    <row r="84" spans="1:12">
      <c r="A84" s="51" t="s">
        <v>105</v>
      </c>
    </row>
    <row r="85" spans="1:12">
      <c r="A85" s="4" t="s">
        <v>106</v>
      </c>
      <c r="G85" s="55">
        <f>J81</f>
        <v>47.644138414985136</v>
      </c>
    </row>
    <row r="86" spans="1:12">
      <c r="A86" s="4" t="s">
        <v>107</v>
      </c>
      <c r="G86" s="55">
        <f>G85*I82</f>
        <v>1633529.4453125002</v>
      </c>
    </row>
    <row r="88" spans="1:12">
      <c r="G88" s="64" t="s">
        <v>107</v>
      </c>
      <c r="H88" s="64"/>
      <c r="I88" s="64" t="s">
        <v>95</v>
      </c>
      <c r="J88" s="64" t="s">
        <v>108</v>
      </c>
    </row>
    <row r="89" spans="1:12">
      <c r="G89" s="55">
        <f>G86</f>
        <v>1633529.4453125002</v>
      </c>
      <c r="I89" s="64" t="s">
        <v>95</v>
      </c>
      <c r="J89" s="50">
        <f>J59</f>
        <v>1633529.4453125002</v>
      </c>
    </row>
    <row r="91" spans="1:12">
      <c r="A91" s="61" t="s">
        <v>109</v>
      </c>
    </row>
    <row r="92" spans="1:12">
      <c r="A92" s="51" t="s">
        <v>110</v>
      </c>
    </row>
    <row r="93" spans="1:12">
      <c r="A93" s="51" t="s">
        <v>111</v>
      </c>
      <c r="B93" s="51"/>
      <c r="C93" s="51"/>
      <c r="D93" s="51"/>
      <c r="E93" s="51"/>
      <c r="F93" s="51"/>
      <c r="G93" s="51" t="s">
        <v>112</v>
      </c>
      <c r="H93" s="51"/>
      <c r="I93" s="51" t="s">
        <v>113</v>
      </c>
      <c r="J93" s="51" t="s">
        <v>114</v>
      </c>
    </row>
    <row r="94" spans="1:12">
      <c r="A94" s="51" t="s">
        <v>111</v>
      </c>
      <c r="B94" s="51"/>
      <c r="C94" s="51"/>
      <c r="D94" s="51"/>
      <c r="E94" s="51"/>
      <c r="F94" s="51"/>
      <c r="G94" s="65">
        <f>G21</f>
        <v>3443296.5</v>
      </c>
      <c r="H94" s="51"/>
      <c r="I94" s="51" t="s">
        <v>113</v>
      </c>
      <c r="J94" s="66">
        <v>0.25</v>
      </c>
      <c r="K94" s="4" t="s">
        <v>95</v>
      </c>
      <c r="L94" s="67">
        <f>G94*J94</f>
        <v>860824.125</v>
      </c>
    </row>
    <row r="95" spans="1:12">
      <c r="A95" s="51"/>
    </row>
    <row r="96" spans="1:12">
      <c r="A96" s="187" t="s">
        <v>94</v>
      </c>
      <c r="G96" s="187" t="s">
        <v>95</v>
      </c>
      <c r="I96" s="188" t="s">
        <v>115</v>
      </c>
      <c r="J96" s="188"/>
      <c r="K96" s="188"/>
    </row>
    <row r="97" spans="1:22">
      <c r="A97" s="187"/>
      <c r="G97" s="187"/>
      <c r="I97" s="49" t="s">
        <v>97</v>
      </c>
      <c r="J97" s="49" t="s">
        <v>98</v>
      </c>
      <c r="K97" s="49" t="s">
        <v>99</v>
      </c>
    </row>
    <row r="98" spans="1:22">
      <c r="A98" s="187" t="s">
        <v>94</v>
      </c>
      <c r="G98" s="187" t="s">
        <v>95</v>
      </c>
      <c r="I98" s="68">
        <f>J59</f>
        <v>1633529.4453125002</v>
      </c>
      <c r="J98" s="69" t="s">
        <v>116</v>
      </c>
      <c r="K98" s="70">
        <f>L94</f>
        <v>860824.125</v>
      </c>
    </row>
    <row r="99" spans="1:22">
      <c r="A99" s="187"/>
      <c r="G99" s="187"/>
      <c r="I99" s="71">
        <f>L61</f>
        <v>100</v>
      </c>
      <c r="J99" s="49" t="s">
        <v>98</v>
      </c>
      <c r="K99" s="71">
        <f>N62</f>
        <v>52.355861585014864</v>
      </c>
    </row>
    <row r="100" spans="1:22">
      <c r="G100" s="187" t="s">
        <v>95</v>
      </c>
      <c r="I100" s="68"/>
      <c r="J100" s="72">
        <f>I98+K98</f>
        <v>2494353.5703125</v>
      </c>
      <c r="K100" s="70"/>
    </row>
    <row r="101" spans="1:22">
      <c r="G101" s="187"/>
      <c r="I101" s="71"/>
      <c r="J101" s="71">
        <f>I99-K99</f>
        <v>47.644138414985136</v>
      </c>
      <c r="K101" s="71"/>
    </row>
    <row r="102" spans="1:22">
      <c r="G102" s="187" t="s">
        <v>95</v>
      </c>
      <c r="I102" s="200">
        <f>J100/J101</f>
        <v>52353.839387049775</v>
      </c>
      <c r="J102" s="200"/>
    </row>
    <row r="103" spans="1:22">
      <c r="G103" s="187"/>
      <c r="I103" s="200"/>
      <c r="J103" s="200"/>
    </row>
    <row r="104" spans="1:22">
      <c r="I104" s="56"/>
    </row>
    <row r="105" spans="1:22" ht="27.6" customHeight="1" thickBot="1">
      <c r="K105" s="192" t="s">
        <v>225</v>
      </c>
      <c r="L105" s="192"/>
      <c r="N105" s="192" t="s">
        <v>234</v>
      </c>
      <c r="O105" s="192"/>
      <c r="Q105" s="192" t="s">
        <v>247</v>
      </c>
      <c r="R105" s="192"/>
    </row>
    <row r="106" spans="1:22" ht="15.75" thickBot="1">
      <c r="A106" s="49" t="s">
        <v>118</v>
      </c>
      <c r="B106" s="49"/>
      <c r="C106" s="49"/>
      <c r="D106" s="49"/>
      <c r="E106" s="49"/>
      <c r="F106" s="49"/>
      <c r="G106" s="206">
        <f>Q64</f>
        <v>24651.63</v>
      </c>
      <c r="H106" s="206"/>
      <c r="I106" s="206"/>
      <c r="J106" s="73">
        <f>+K106-G106</f>
        <v>9634.4228001219781</v>
      </c>
      <c r="K106" s="192">
        <f>I82</f>
        <v>34286.052800121979</v>
      </c>
      <c r="L106" s="192"/>
      <c r="M106" s="74">
        <f>+N106-K106</f>
        <v>18067.786586927796</v>
      </c>
      <c r="N106" s="192">
        <f>I102</f>
        <v>52353.839387049775</v>
      </c>
      <c r="O106" s="192"/>
      <c r="P106" s="73">
        <f>+Q106-N106</f>
        <v>7853.0759080574644</v>
      </c>
      <c r="Q106" s="192">
        <f>'Adminis CxC'!C18</f>
        <v>60206.915295107239</v>
      </c>
      <c r="R106" s="192"/>
      <c r="T106" s="191"/>
      <c r="U106" s="191"/>
    </row>
    <row r="107" spans="1:22" ht="45.75" thickBot="1">
      <c r="A107" s="3"/>
      <c r="B107" s="3"/>
      <c r="C107" s="6">
        <v>2015</v>
      </c>
      <c r="D107" s="6">
        <v>2016</v>
      </c>
      <c r="E107" s="6">
        <v>2017</v>
      </c>
      <c r="F107" s="6">
        <v>2018</v>
      </c>
      <c r="G107" s="6">
        <v>2019</v>
      </c>
      <c r="I107" s="6" t="s">
        <v>221</v>
      </c>
      <c r="J107" s="75"/>
      <c r="K107" s="6">
        <v>2019</v>
      </c>
      <c r="L107" s="6" t="s">
        <v>221</v>
      </c>
      <c r="M107" s="75"/>
      <c r="N107" s="6">
        <v>2022</v>
      </c>
      <c r="O107" s="6" t="s">
        <v>220</v>
      </c>
      <c r="P107" s="75"/>
      <c r="Q107" s="6" t="s">
        <v>206</v>
      </c>
      <c r="R107" s="6" t="s">
        <v>219</v>
      </c>
      <c r="S107" s="75"/>
      <c r="T107" s="198" t="s">
        <v>218</v>
      </c>
      <c r="U107" s="198"/>
    </row>
    <row r="108" spans="1:22">
      <c r="A108" s="3" t="s">
        <v>15</v>
      </c>
      <c r="B108" s="7" t="s">
        <v>68</v>
      </c>
      <c r="C108" s="8">
        <v>672177.625</v>
      </c>
      <c r="D108" s="8">
        <v>373486.40625</v>
      </c>
      <c r="E108" s="8">
        <v>481311.4375</v>
      </c>
      <c r="F108" s="8">
        <v>676965.0625</v>
      </c>
      <c r="G108" s="8">
        <v>2465163</v>
      </c>
      <c r="I108" s="76">
        <f>G108/$G$108</f>
        <v>1</v>
      </c>
      <c r="J108" s="75"/>
      <c r="K108" s="8">
        <f>K106*I79</f>
        <v>3428605.2800121978</v>
      </c>
      <c r="L108" s="76">
        <f>K108/$G$108</f>
        <v>1.3908229516718358</v>
      </c>
      <c r="M108" s="75"/>
      <c r="N108" s="8">
        <f>N106*Q62</f>
        <v>5235383.9387049777</v>
      </c>
      <c r="O108" s="76">
        <f t="shared" ref="O108:O119" si="0">N108/$N$108</f>
        <v>1</v>
      </c>
      <c r="P108" s="75"/>
      <c r="Q108" s="8">
        <f>'Adminis CxC'!G18</f>
        <v>6020691.5295107244</v>
      </c>
      <c r="R108" s="76">
        <f t="shared" ref="R108:R120" si="1">Q108/$Q$108</f>
        <v>1</v>
      </c>
      <c r="S108" s="75"/>
      <c r="T108" s="76">
        <f t="shared" ref="T108:T119" si="2">Q108/N108-1</f>
        <v>0.14999999999999991</v>
      </c>
      <c r="U108" s="8">
        <f t="shared" ref="U108:U120" si="3">Q108-N108</f>
        <v>785307.59080574661</v>
      </c>
      <c r="V108" s="9"/>
    </row>
    <row r="109" spans="1:22">
      <c r="A109" s="3" t="s">
        <v>16</v>
      </c>
      <c r="B109" s="7" t="s">
        <v>69</v>
      </c>
      <c r="C109" s="8">
        <v>502087.3125</v>
      </c>
      <c r="D109" s="8">
        <v>207300.796875</v>
      </c>
      <c r="E109" s="8">
        <v>266702.03125</v>
      </c>
      <c r="F109" s="8">
        <v>398476.71875</v>
      </c>
      <c r="G109" s="8">
        <v>1109092.875</v>
      </c>
      <c r="I109" s="76">
        <f t="shared" ref="I109:I120" si="4">G109/$G$108</f>
        <v>0.44990650719648151</v>
      </c>
      <c r="J109" s="75"/>
      <c r="K109" s="8">
        <f>K106*L48+J48</f>
        <v>1455860.0358685621</v>
      </c>
      <c r="L109" s="76">
        <f t="shared" ref="L109:L120" si="5">K109/$G$108</f>
        <v>0.59057353849159755</v>
      </c>
      <c r="M109" s="75"/>
      <c r="N109" s="8">
        <f>N106*L48+J48</f>
        <v>2106165.2163562519</v>
      </c>
      <c r="O109" s="76">
        <f t="shared" si="0"/>
        <v>0.40229431900599671</v>
      </c>
      <c r="P109" s="75"/>
      <c r="Q109" s="8">
        <f>-'Adminis CxC'!G20</f>
        <v>2388817.2125596893</v>
      </c>
      <c r="R109" s="76">
        <f t="shared" si="1"/>
        <v>0.39676791293006475</v>
      </c>
      <c r="S109" s="75"/>
      <c r="T109" s="76">
        <f t="shared" si="2"/>
        <v>0.13420219553926382</v>
      </c>
      <c r="U109" s="8">
        <f t="shared" si="3"/>
        <v>282651.99620343745</v>
      </c>
    </row>
    <row r="110" spans="1:22">
      <c r="A110" s="27" t="s">
        <v>70</v>
      </c>
      <c r="B110" s="7" t="s">
        <v>71</v>
      </c>
      <c r="C110" s="11">
        <v>170090.3125</v>
      </c>
      <c r="D110" s="11">
        <v>166185.609375</v>
      </c>
      <c r="E110" s="11">
        <v>214609.40625</v>
      </c>
      <c r="F110" s="11">
        <v>278488.34375</v>
      </c>
      <c r="G110" s="11">
        <f>G108-G109</f>
        <v>1356070.125</v>
      </c>
      <c r="I110" s="77">
        <f t="shared" si="4"/>
        <v>0.55009349280351849</v>
      </c>
      <c r="J110" s="75"/>
      <c r="K110" s="11">
        <f>K108-K109</f>
        <v>1972745.2441436357</v>
      </c>
      <c r="L110" s="77">
        <f t="shared" si="5"/>
        <v>0.80024941318023823</v>
      </c>
      <c r="M110" s="75"/>
      <c r="N110" s="11">
        <f>N108-N109</f>
        <v>3129218.7223487259</v>
      </c>
      <c r="O110" s="77">
        <f t="shared" si="0"/>
        <v>0.59770568099400334</v>
      </c>
      <c r="P110" s="75"/>
      <c r="Q110" s="11">
        <f>Q108-Q109</f>
        <v>3631874.3169510351</v>
      </c>
      <c r="R110" s="77">
        <f t="shared" si="1"/>
        <v>0.60323208706993525</v>
      </c>
      <c r="S110" s="75"/>
      <c r="T110" s="77">
        <f t="shared" si="2"/>
        <v>0.16063293722882577</v>
      </c>
      <c r="U110" s="11">
        <f t="shared" si="3"/>
        <v>502655.59460230917</v>
      </c>
    </row>
    <row r="111" spans="1:22">
      <c r="A111" s="3" t="s">
        <v>72</v>
      </c>
      <c r="B111" s="7" t="s">
        <v>73</v>
      </c>
      <c r="C111" s="8">
        <v>128454.1171875</v>
      </c>
      <c r="D111" s="8">
        <v>172298.0625</v>
      </c>
      <c r="E111" s="8">
        <v>174914.453125</v>
      </c>
      <c r="F111" s="8">
        <v>204356.953125</v>
      </c>
      <c r="G111" s="8">
        <f>G106*L50+J50</f>
        <v>1024585.8750000001</v>
      </c>
      <c r="I111" s="76">
        <f t="shared" si="4"/>
        <v>0.41562601539938743</v>
      </c>
      <c r="J111" s="75"/>
      <c r="K111" s="8">
        <f>K106*L50+J50</f>
        <v>1104672.2101817541</v>
      </c>
      <c r="L111" s="76">
        <f t="shared" si="5"/>
        <v>0.44811325262538587</v>
      </c>
      <c r="M111" s="75"/>
      <c r="N111" s="8">
        <f>N106*L50+J50</f>
        <v>1254861.0531059802</v>
      </c>
      <c r="O111" s="76">
        <f t="shared" si="0"/>
        <v>0.23968844841136561</v>
      </c>
      <c r="P111" s="75"/>
      <c r="Q111" s="8">
        <f>Q106*L50+J50</f>
        <v>1320139.9060718771</v>
      </c>
      <c r="R111" s="76">
        <f t="shared" si="1"/>
        <v>0.21926715554204107</v>
      </c>
      <c r="S111" s="75"/>
      <c r="T111" s="76">
        <f t="shared" si="2"/>
        <v>5.2020781746569877E-2</v>
      </c>
      <c r="U111" s="8">
        <f t="shared" si="3"/>
        <v>65278.852965896949</v>
      </c>
    </row>
    <row r="112" spans="1:22">
      <c r="A112" s="3" t="s">
        <v>74</v>
      </c>
      <c r="B112" s="7"/>
      <c r="C112" s="8">
        <v>18912.3203125</v>
      </c>
      <c r="D112" s="8">
        <v>12402.9296875</v>
      </c>
      <c r="E112" s="8">
        <v>18220.048828125</v>
      </c>
      <c r="F112" s="8">
        <v>18207.189453125</v>
      </c>
      <c r="G112" s="8">
        <f>G106*L51+J51</f>
        <v>28378.2890625</v>
      </c>
      <c r="I112" s="76">
        <f t="shared" si="4"/>
        <v>1.1511729270032042E-2</v>
      </c>
      <c r="J112" s="75"/>
      <c r="K112" s="8">
        <f>K106*L51+J51</f>
        <v>36141.909748861974</v>
      </c>
      <c r="L112" s="76">
        <f t="shared" si="5"/>
        <v>1.4661062878544734E-2</v>
      </c>
      <c r="M112" s="75"/>
      <c r="N112" s="8">
        <f>N106*L51+J51</f>
        <v>50701.312487682</v>
      </c>
      <c r="O112" s="76">
        <f t="shared" si="0"/>
        <v>9.6843542099843503E-3</v>
      </c>
      <c r="P112" s="75"/>
      <c r="Q112" s="8">
        <f>Q106*L51+J51</f>
        <v>57029.486353021799</v>
      </c>
      <c r="R112" s="76">
        <f t="shared" si="1"/>
        <v>9.4722485072501854E-3</v>
      </c>
      <c r="S112" s="75"/>
      <c r="T112" s="76">
        <f t="shared" si="2"/>
        <v>0.12481282149998085</v>
      </c>
      <c r="U112" s="8">
        <f t="shared" si="3"/>
        <v>6328.1738653397988</v>
      </c>
    </row>
    <row r="113" spans="1:21">
      <c r="A113" s="3" t="s">
        <v>17</v>
      </c>
      <c r="B113" s="7" t="s">
        <v>75</v>
      </c>
      <c r="C113" s="8">
        <v>10362.5693359375</v>
      </c>
      <c r="D113" s="8">
        <v>10527.0302734375</v>
      </c>
      <c r="E113" s="8">
        <v>10527.0400390625</v>
      </c>
      <c r="F113" s="8">
        <v>10267.650390625</v>
      </c>
      <c r="G113" s="8">
        <v>431939.3125</v>
      </c>
      <c r="I113" s="76">
        <f t="shared" si="4"/>
        <v>0.17521734364015687</v>
      </c>
      <c r="J113" s="75"/>
      <c r="K113" s="8">
        <v>13051.349609375</v>
      </c>
      <c r="L113" s="76">
        <f t="shared" si="5"/>
        <v>5.2943150653222528E-3</v>
      </c>
      <c r="M113" s="75"/>
      <c r="N113" s="8">
        <v>13051.349609375</v>
      </c>
      <c r="O113" s="76">
        <f t="shared" si="0"/>
        <v>2.4929116493036759E-3</v>
      </c>
      <c r="P113" s="75"/>
      <c r="Q113" s="8">
        <v>13051.349609375</v>
      </c>
      <c r="R113" s="76">
        <f t="shared" si="1"/>
        <v>2.167749260264066E-3</v>
      </c>
      <c r="S113" s="75"/>
      <c r="T113" s="76">
        <f t="shared" si="2"/>
        <v>0</v>
      </c>
      <c r="U113" s="8">
        <f t="shared" si="3"/>
        <v>0</v>
      </c>
    </row>
    <row r="114" spans="1:21">
      <c r="A114" s="3" t="s">
        <v>18</v>
      </c>
      <c r="B114" s="7" t="s">
        <v>76</v>
      </c>
      <c r="C114" s="8">
        <v>0</v>
      </c>
      <c r="D114" s="8">
        <v>0</v>
      </c>
      <c r="E114" s="8">
        <v>0</v>
      </c>
      <c r="F114" s="8">
        <v>0</v>
      </c>
      <c r="G114" s="8">
        <v>238134.734375</v>
      </c>
      <c r="I114" s="76">
        <f t="shared" si="4"/>
        <v>9.6599995365418023E-2</v>
      </c>
      <c r="J114" s="75"/>
      <c r="K114" s="8">
        <v>0</v>
      </c>
      <c r="L114" s="76">
        <f t="shared" si="5"/>
        <v>0</v>
      </c>
      <c r="M114" s="75"/>
      <c r="N114" s="8">
        <v>0</v>
      </c>
      <c r="O114" s="76">
        <f t="shared" si="0"/>
        <v>0</v>
      </c>
      <c r="P114" s="75"/>
      <c r="Q114" s="8">
        <v>0</v>
      </c>
      <c r="R114" s="76">
        <f t="shared" si="1"/>
        <v>0</v>
      </c>
      <c r="S114" s="75"/>
      <c r="T114" s="76">
        <v>0</v>
      </c>
      <c r="U114" s="8">
        <f t="shared" si="3"/>
        <v>0</v>
      </c>
    </row>
    <row r="115" spans="1:21" ht="26.25">
      <c r="A115" s="38" t="s">
        <v>77</v>
      </c>
      <c r="B115" s="3"/>
      <c r="C115" s="39">
        <v>12361.3056640625</v>
      </c>
      <c r="D115" s="39">
        <v>-29042.4130859375</v>
      </c>
      <c r="E115" s="39">
        <v>10947.8642578125</v>
      </c>
      <c r="F115" s="39">
        <v>45656.55078125</v>
      </c>
      <c r="G115" s="39">
        <f>G110-G111-G112-G113-G114</f>
        <v>-366968.08593750012</v>
      </c>
      <c r="I115" s="78">
        <f t="shared" si="4"/>
        <v>-0.14886159087147588</v>
      </c>
      <c r="J115" s="75"/>
      <c r="K115" s="39">
        <f>K110-K111-K112-K113-K114</f>
        <v>818879.77460364462</v>
      </c>
      <c r="L115" s="78">
        <f t="shared" si="5"/>
        <v>0.33218078261098538</v>
      </c>
      <c r="M115" s="75"/>
      <c r="N115" s="39">
        <f>N110-N111-N112-N113-N114</f>
        <v>1810605.0071456886</v>
      </c>
      <c r="O115" s="78">
        <f t="shared" si="0"/>
        <v>0.34583996672334966</v>
      </c>
      <c r="P115" s="75"/>
      <c r="Q115" s="39">
        <f>Q110-Q111-Q112-Q113-Q114</f>
        <v>2241653.5749167614</v>
      </c>
      <c r="R115" s="78">
        <f t="shared" si="1"/>
        <v>0.37232493376038001</v>
      </c>
      <c r="S115" s="75"/>
      <c r="T115" s="78">
        <f t="shared" si="2"/>
        <v>0.23806880356008464</v>
      </c>
      <c r="U115" s="39">
        <f t="shared" si="3"/>
        <v>431048.56777107273</v>
      </c>
    </row>
    <row r="116" spans="1:21">
      <c r="A116" s="3" t="s">
        <v>19</v>
      </c>
      <c r="B116" s="7" t="s">
        <v>78</v>
      </c>
      <c r="C116" s="41">
        <v>0</v>
      </c>
      <c r="D116" s="41">
        <v>0</v>
      </c>
      <c r="E116" s="41">
        <v>6569.580078125</v>
      </c>
      <c r="F116" s="41">
        <v>17085.98046875</v>
      </c>
      <c r="G116" s="41">
        <v>92055.6875</v>
      </c>
      <c r="I116" s="79">
        <f t="shared" si="4"/>
        <v>3.7342637180584004E-2</v>
      </c>
      <c r="J116" s="75"/>
      <c r="K116" s="41">
        <v>818879.77</v>
      </c>
      <c r="L116" s="79">
        <f t="shared" si="5"/>
        <v>0.3321807807435046</v>
      </c>
      <c r="M116" s="75"/>
      <c r="N116" s="41">
        <v>36093.73046875</v>
      </c>
      <c r="O116" s="79">
        <f t="shared" si="0"/>
        <v>6.8941897846136052E-3</v>
      </c>
      <c r="P116" s="75"/>
      <c r="Q116" s="41">
        <v>36093.73046875</v>
      </c>
      <c r="R116" s="79">
        <f t="shared" si="1"/>
        <v>5.9949476387944397E-3</v>
      </c>
      <c r="S116" s="75"/>
      <c r="T116" s="79">
        <f>Q116/N116-1</f>
        <v>0</v>
      </c>
      <c r="U116" s="41">
        <f t="shared" si="3"/>
        <v>0</v>
      </c>
    </row>
    <row r="117" spans="1:21">
      <c r="A117" s="38" t="s">
        <v>20</v>
      </c>
      <c r="B117" s="3"/>
      <c r="C117" s="39">
        <v>12361.3056640625</v>
      </c>
      <c r="D117" s="39">
        <v>-29042.4130859375</v>
      </c>
      <c r="E117" s="39">
        <v>4378.2841796875</v>
      </c>
      <c r="F117" s="39">
        <v>28570.5703125</v>
      </c>
      <c r="G117" s="39">
        <f>G115-G116</f>
        <v>-459023.77343750012</v>
      </c>
      <c r="I117" s="78">
        <f t="shared" si="4"/>
        <v>-0.18620422805205988</v>
      </c>
      <c r="J117" s="75"/>
      <c r="K117" s="39">
        <f>K115-K116</f>
        <v>4.6036446001380682E-3</v>
      </c>
      <c r="L117" s="78">
        <f t="shared" si="5"/>
        <v>1.8674808116696818E-9</v>
      </c>
      <c r="M117" s="75"/>
      <c r="N117" s="39">
        <f>N115-N116</f>
        <v>1774511.2766769386</v>
      </c>
      <c r="O117" s="78">
        <f t="shared" si="0"/>
        <v>0.33894577693873601</v>
      </c>
      <c r="P117" s="75"/>
      <c r="Q117" s="39">
        <f>Q115-Q116</f>
        <v>2205559.8444480114</v>
      </c>
      <c r="R117" s="78">
        <f t="shared" si="1"/>
        <v>0.36632998612158557</v>
      </c>
      <c r="S117" s="75"/>
      <c r="T117" s="78">
        <f t="shared" si="2"/>
        <v>0.24291114597946173</v>
      </c>
      <c r="U117" s="39">
        <f t="shared" si="3"/>
        <v>431048.56777107273</v>
      </c>
    </row>
    <row r="118" spans="1:21">
      <c r="A118" s="43" t="s">
        <v>79</v>
      </c>
      <c r="B118" s="3"/>
      <c r="C118" s="8">
        <v>1854.18994140625</v>
      </c>
      <c r="D118" s="8">
        <v>0</v>
      </c>
      <c r="E118" s="8">
        <v>656.739990234375</v>
      </c>
      <c r="F118" s="8">
        <v>4285.580078125</v>
      </c>
      <c r="G118" s="8">
        <v>2586.86010742187</v>
      </c>
      <c r="I118" s="76">
        <f t="shared" si="4"/>
        <v>1.0493667588803944E-3</v>
      </c>
      <c r="J118" s="75"/>
      <c r="K118" s="8">
        <f>K117*15%</f>
        <v>6.9054669002071016E-4</v>
      </c>
      <c r="L118" s="76">
        <f t="shared" si="5"/>
        <v>2.8012212175045226E-10</v>
      </c>
      <c r="M118" s="75"/>
      <c r="N118" s="8">
        <f>N117*15%</f>
        <v>266176.69150154077</v>
      </c>
      <c r="O118" s="76">
        <f t="shared" si="0"/>
        <v>5.0841866540810403E-2</v>
      </c>
      <c r="P118" s="75"/>
      <c r="Q118" s="8">
        <f>Q117*15%</f>
        <v>330833.97666720167</v>
      </c>
      <c r="R118" s="76">
        <f t="shared" si="1"/>
        <v>5.4949497918237826E-2</v>
      </c>
      <c r="S118" s="75"/>
      <c r="T118" s="76">
        <f t="shared" si="2"/>
        <v>0.24291114597946173</v>
      </c>
      <c r="U118" s="8">
        <f t="shared" si="3"/>
        <v>64657.285165660898</v>
      </c>
    </row>
    <row r="119" spans="1:21">
      <c r="A119" s="3" t="s">
        <v>21</v>
      </c>
      <c r="B119" s="3" t="s">
        <v>80</v>
      </c>
      <c r="C119" s="41">
        <v>4189.27001953125</v>
      </c>
      <c r="D119" s="41">
        <v>4990.60009765625</v>
      </c>
      <c r="E119" s="41">
        <v>6176.31982421875</v>
      </c>
      <c r="F119" s="41">
        <v>6905.47021484375</v>
      </c>
      <c r="G119" s="41">
        <v>7652.06005859375</v>
      </c>
      <c r="I119" s="79">
        <f t="shared" si="4"/>
        <v>3.104078739861725E-3</v>
      </c>
      <c r="J119" s="75"/>
      <c r="K119" s="41">
        <f>(K117-K118)*25%</f>
        <v>9.7827447752933954E-4</v>
      </c>
      <c r="L119" s="79">
        <f t="shared" si="5"/>
        <v>3.9683967247980742E-10</v>
      </c>
      <c r="M119" s="75"/>
      <c r="N119" s="41">
        <f>(N117-N118)*25%</f>
        <v>377083.64629384945</v>
      </c>
      <c r="O119" s="79">
        <f t="shared" si="0"/>
        <v>7.20259775994814E-2</v>
      </c>
      <c r="P119" s="75"/>
      <c r="Q119" s="41">
        <f>(Q117-Q118)*25%</f>
        <v>468681.46694520244</v>
      </c>
      <c r="R119" s="79">
        <f t="shared" si="1"/>
        <v>7.7845122050836935E-2</v>
      </c>
      <c r="S119" s="75"/>
      <c r="T119" s="79">
        <f t="shared" si="2"/>
        <v>0.24291114597946173</v>
      </c>
      <c r="U119" s="41">
        <f t="shared" si="3"/>
        <v>91597.820651352988</v>
      </c>
    </row>
    <row r="120" spans="1:21" ht="27" thickBot="1">
      <c r="A120" s="38" t="s">
        <v>22</v>
      </c>
      <c r="B120" s="3"/>
      <c r="C120" s="44">
        <v>6317.845703125</v>
      </c>
      <c r="D120" s="44">
        <v>-34033.01318359375</v>
      </c>
      <c r="E120" s="44">
        <v>-2454.775634765625</v>
      </c>
      <c r="F120" s="44">
        <v>17379.52001953125</v>
      </c>
      <c r="G120" s="44">
        <f>G117-G118-G119</f>
        <v>-469262.69360351574</v>
      </c>
      <c r="I120" s="80">
        <f t="shared" si="4"/>
        <v>-0.19035767355080202</v>
      </c>
      <c r="J120" s="75"/>
      <c r="K120" s="44">
        <f>K117-K118-K119</f>
        <v>2.9348234325880188E-3</v>
      </c>
      <c r="L120" s="80">
        <f t="shared" si="5"/>
        <v>1.1905190174394224E-9</v>
      </c>
      <c r="M120" s="75"/>
      <c r="N120" s="44">
        <f>N117-N118-N119</f>
        <v>1131250.9388815484</v>
      </c>
      <c r="O120" s="80">
        <f>N120/$N$108</f>
        <v>0.2160779327984442</v>
      </c>
      <c r="P120" s="75"/>
      <c r="Q120" s="44">
        <f>Q117-Q118-Q119</f>
        <v>1406044.4008356072</v>
      </c>
      <c r="R120" s="80">
        <f t="shared" si="1"/>
        <v>0.23353536615251078</v>
      </c>
      <c r="S120" s="75"/>
      <c r="T120" s="81">
        <f>Q120/N120-1</f>
        <v>0.24291114597946173</v>
      </c>
      <c r="U120" s="44">
        <f t="shared" si="3"/>
        <v>274793.46195405885</v>
      </c>
    </row>
    <row r="121" spans="1:21" ht="15.75" thickTop="1">
      <c r="G121" s="82" t="s">
        <v>233</v>
      </c>
      <c r="J121" s="75"/>
      <c r="K121" s="82" t="s">
        <v>226</v>
      </c>
      <c r="L121" s="75"/>
      <c r="M121" s="75"/>
      <c r="N121" s="82" t="s">
        <v>240</v>
      </c>
      <c r="O121" s="75"/>
      <c r="P121" s="75"/>
      <c r="Q121" s="82" t="s">
        <v>241</v>
      </c>
    </row>
    <row r="122" spans="1:21">
      <c r="J122" s="75"/>
      <c r="K122" s="75"/>
      <c r="L122" s="75"/>
      <c r="M122" s="75"/>
    </row>
    <row r="123" spans="1:21" ht="48" customHeight="1">
      <c r="J123" s="75"/>
      <c r="K123" s="75"/>
      <c r="L123" s="75"/>
      <c r="M123" s="75"/>
      <c r="Q123" s="187" t="s">
        <v>239</v>
      </c>
      <c r="R123" s="187"/>
    </row>
    <row r="124" spans="1:21">
      <c r="J124" s="75"/>
      <c r="K124" s="75"/>
      <c r="L124" s="75"/>
      <c r="M124" s="75"/>
      <c r="Q124" s="83"/>
      <c r="R124" s="83"/>
    </row>
    <row r="125" spans="1:21">
      <c r="J125" s="75"/>
      <c r="K125" s="75"/>
      <c r="L125" s="75"/>
      <c r="M125" s="75"/>
      <c r="Q125" s="84">
        <f>Q117</f>
        <v>2205559.8444480114</v>
      </c>
      <c r="R125" s="85" t="s">
        <v>236</v>
      </c>
      <c r="S125" s="86"/>
      <c r="T125" s="87"/>
    </row>
    <row r="126" spans="1:21">
      <c r="J126" s="75"/>
      <c r="K126" s="75"/>
      <c r="L126" s="75"/>
      <c r="M126" s="75"/>
      <c r="Q126" s="88">
        <f>G21</f>
        <v>3443296.5</v>
      </c>
      <c r="R126" s="89" t="s">
        <v>235</v>
      </c>
      <c r="S126" s="24"/>
      <c r="T126" s="25"/>
    </row>
    <row r="127" spans="1:21">
      <c r="J127" s="75"/>
      <c r="K127" s="75"/>
      <c r="L127" s="75"/>
      <c r="M127" s="75"/>
      <c r="Q127" s="90">
        <f>Q125/Q126</f>
        <v>0.64053730035970224</v>
      </c>
      <c r="R127" s="91" t="s">
        <v>237</v>
      </c>
      <c r="S127" s="29"/>
      <c r="T127" s="30"/>
    </row>
    <row r="128" spans="1:21">
      <c r="A128" s="92" t="s">
        <v>222</v>
      </c>
      <c r="J128" s="75"/>
      <c r="K128" s="75"/>
      <c r="L128" s="75"/>
    </row>
    <row r="129" spans="1:18">
      <c r="A129" s="199" t="s">
        <v>223</v>
      </c>
      <c r="B129" s="199"/>
      <c r="C129" s="199"/>
      <c r="D129" s="199"/>
      <c r="E129" s="199"/>
      <c r="F129" s="199"/>
      <c r="G129" s="199"/>
      <c r="H129" s="199"/>
      <c r="I129" s="199"/>
      <c r="J129" s="199"/>
      <c r="K129" s="199"/>
      <c r="L129" s="199"/>
      <c r="M129" s="199"/>
      <c r="N129" s="199"/>
      <c r="O129" s="199"/>
      <c r="P129" s="199"/>
      <c r="Q129" s="199"/>
      <c r="R129" s="199"/>
    </row>
    <row r="130" spans="1:18" ht="21" customHeight="1">
      <c r="A130" s="199" t="s">
        <v>246</v>
      </c>
      <c r="B130" s="199"/>
      <c r="C130" s="199"/>
      <c r="D130" s="199"/>
      <c r="E130" s="199"/>
      <c r="F130" s="199"/>
      <c r="G130" s="199"/>
      <c r="H130" s="199"/>
      <c r="I130" s="199"/>
      <c r="J130" s="199"/>
      <c r="K130" s="199"/>
      <c r="L130" s="199"/>
      <c r="M130" s="199"/>
      <c r="N130" s="199"/>
      <c r="O130" s="199"/>
      <c r="P130" s="199"/>
      <c r="Q130" s="199"/>
      <c r="R130" s="199"/>
    </row>
    <row r="132" spans="1:18" ht="38.1" customHeight="1">
      <c r="A132" s="199" t="s">
        <v>245</v>
      </c>
      <c r="B132" s="199"/>
      <c r="C132" s="199"/>
      <c r="D132" s="199"/>
      <c r="E132" s="199"/>
      <c r="F132" s="199"/>
      <c r="G132" s="199"/>
      <c r="H132" s="199"/>
      <c r="I132" s="199"/>
      <c r="J132" s="199"/>
      <c r="K132" s="199"/>
      <c r="L132" s="199"/>
      <c r="M132" s="199"/>
      <c r="N132" s="199"/>
      <c r="O132" s="199"/>
      <c r="P132" s="199"/>
      <c r="Q132" s="199"/>
      <c r="R132" s="199"/>
    </row>
    <row r="135" spans="1:18" ht="36" customHeight="1">
      <c r="A135" s="205" t="s">
        <v>224</v>
      </c>
      <c r="B135" s="205"/>
      <c r="C135" s="205"/>
      <c r="D135" s="205"/>
      <c r="E135" s="205"/>
      <c r="F135" s="205"/>
      <c r="G135" s="205"/>
      <c r="H135" s="205"/>
      <c r="I135" s="205"/>
      <c r="J135" s="205"/>
      <c r="K135" s="205"/>
      <c r="L135" s="205"/>
      <c r="M135" s="205"/>
      <c r="N135" s="205"/>
      <c r="O135" s="205"/>
      <c r="P135" s="205"/>
      <c r="Q135" s="205"/>
      <c r="R135" s="205"/>
    </row>
    <row r="138" spans="1:18" ht="57.95" customHeight="1">
      <c r="A138" s="204"/>
      <c r="B138" s="204"/>
      <c r="C138" s="204"/>
      <c r="D138" s="204"/>
      <c r="E138" s="204"/>
      <c r="F138" s="204"/>
      <c r="G138" s="204"/>
      <c r="H138" s="204"/>
      <c r="I138" s="204"/>
      <c r="J138" s="204"/>
      <c r="K138" s="204"/>
      <c r="L138" s="204"/>
      <c r="M138" s="204"/>
      <c r="N138" s="204"/>
      <c r="O138" s="204"/>
      <c r="P138" s="204"/>
      <c r="Q138" s="204"/>
      <c r="R138" s="204"/>
    </row>
  </sheetData>
  <mergeCells count="46">
    <mergeCell ref="A138:R138"/>
    <mergeCell ref="N105:O105"/>
    <mergeCell ref="Q105:R105"/>
    <mergeCell ref="Q123:R123"/>
    <mergeCell ref="A132:R132"/>
    <mergeCell ref="A135:R135"/>
    <mergeCell ref="G106:I106"/>
    <mergeCell ref="N106:O106"/>
    <mergeCell ref="Q106:R106"/>
    <mergeCell ref="A130:R130"/>
    <mergeCell ref="T106:U106"/>
    <mergeCell ref="K106:L106"/>
    <mergeCell ref="J43:M44"/>
    <mergeCell ref="T107:U107"/>
    <mergeCell ref="A129:R129"/>
    <mergeCell ref="K105:L105"/>
    <mergeCell ref="I102:J103"/>
    <mergeCell ref="N47:Q47"/>
    <mergeCell ref="S47:V47"/>
    <mergeCell ref="N50:Q50"/>
    <mergeCell ref="S50:V50"/>
    <mergeCell ref="L45:M45"/>
    <mergeCell ref="A98:A99"/>
    <mergeCell ref="G98:G99"/>
    <mergeCell ref="G100:G101"/>
    <mergeCell ref="G102:G103"/>
    <mergeCell ref="I8:I11"/>
    <mergeCell ref="I80:K80"/>
    <mergeCell ref="G80:G81"/>
    <mergeCell ref="G82:G83"/>
    <mergeCell ref="A96:A97"/>
    <mergeCell ref="G96:G97"/>
    <mergeCell ref="I96:K96"/>
    <mergeCell ref="A64:H64"/>
    <mergeCell ref="I76:K76"/>
    <mergeCell ref="G76:G77"/>
    <mergeCell ref="A76:A77"/>
    <mergeCell ref="G78:G79"/>
    <mergeCell ref="I78:K78"/>
    <mergeCell ref="A63:H63"/>
    <mergeCell ref="J45:K45"/>
    <mergeCell ref="C1:D1"/>
    <mergeCell ref="A2:H2"/>
    <mergeCell ref="A3:H3"/>
    <mergeCell ref="A43:H43"/>
    <mergeCell ref="A44:H44"/>
  </mergeCells>
  <pageMargins left="0.7" right="0.7" top="0.75" bottom="0.75" header="0.3" footer="0.3"/>
  <pageSetup paperSize="9" orientation="portrait" horizontalDpi="4294967292"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B2829-8505-413A-A44F-4566C982A356}">
  <dimension ref="A1:K156"/>
  <sheetViews>
    <sheetView topLeftCell="A10" zoomScale="136" zoomScaleNormal="136" workbookViewId="0">
      <selection activeCell="A93" sqref="A93"/>
    </sheetView>
  </sheetViews>
  <sheetFormatPr baseColWidth="10" defaultRowHeight="15"/>
  <cols>
    <col min="1" max="1" width="11.42578125" style="75"/>
    <col min="2" max="2" width="50.5703125" style="75" customWidth="1"/>
    <col min="3" max="3" width="17.85546875" style="75" customWidth="1"/>
    <col min="4" max="4" width="14.5703125" style="75" customWidth="1"/>
    <col min="5" max="5" width="19.7109375" style="75" customWidth="1"/>
    <col min="6" max="6" width="32.85546875" style="75" customWidth="1"/>
    <col min="7" max="7" width="42.5703125" style="75" customWidth="1"/>
    <col min="8" max="8" width="31.85546875" style="75" customWidth="1"/>
    <col min="9" max="9" width="11.42578125" style="75"/>
    <col min="10" max="10" width="15.5703125" style="75" customWidth="1"/>
    <col min="11" max="11" width="21.5703125" style="75" customWidth="1"/>
    <col min="12" max="16384" width="11.42578125" style="75"/>
  </cols>
  <sheetData>
    <row r="1" spans="1:11">
      <c r="A1" s="93" t="s">
        <v>212</v>
      </c>
    </row>
    <row r="2" spans="1:11">
      <c r="A2" s="94"/>
      <c r="B2" s="94"/>
      <c r="C2" s="94"/>
      <c r="D2" s="94"/>
      <c r="E2" s="94"/>
      <c r="F2" s="94"/>
      <c r="G2" s="94"/>
      <c r="H2" s="94"/>
      <c r="I2" s="94"/>
      <c r="J2" s="94"/>
      <c r="K2" s="94"/>
    </row>
    <row r="3" spans="1:11">
      <c r="A3" s="95"/>
      <c r="B3" s="95"/>
      <c r="C3" s="95"/>
      <c r="D3" s="96"/>
      <c r="E3" s="208" t="s">
        <v>189</v>
      </c>
      <c r="F3" s="97" t="s">
        <v>190</v>
      </c>
      <c r="G3" s="98">
        <f>'Punto de equilibrio'!N52</f>
        <v>35.992520575718522</v>
      </c>
      <c r="H3" s="97"/>
      <c r="I3" s="95"/>
      <c r="J3" s="95"/>
      <c r="K3" s="95"/>
    </row>
    <row r="4" spans="1:11">
      <c r="A4" s="99" t="s">
        <v>191</v>
      </c>
      <c r="B4" s="95"/>
      <c r="C4" s="95"/>
      <c r="D4" s="96"/>
      <c r="E4" s="208"/>
      <c r="F4" s="97" t="s">
        <v>192</v>
      </c>
      <c r="G4" s="98">
        <f>'Punto de equilibrio'!Q52</f>
        <v>40.229431900599671</v>
      </c>
      <c r="H4" s="97"/>
      <c r="I4" s="95"/>
      <c r="J4" s="95"/>
      <c r="K4" s="95"/>
    </row>
    <row r="5" spans="1:11">
      <c r="A5" s="99"/>
      <c r="B5" s="95"/>
      <c r="C5" s="95"/>
      <c r="D5" s="96"/>
      <c r="E5" s="208"/>
      <c r="F5" s="97" t="s">
        <v>193</v>
      </c>
      <c r="G5" s="98">
        <v>100</v>
      </c>
      <c r="H5" s="97"/>
      <c r="I5" s="95"/>
      <c r="J5" s="95"/>
      <c r="K5" s="95"/>
    </row>
    <row r="6" spans="1:11">
      <c r="A6" s="99"/>
      <c r="B6" s="95"/>
      <c r="C6" s="95"/>
      <c r="D6" s="96"/>
      <c r="E6" s="95"/>
      <c r="F6" s="95"/>
      <c r="G6" s="95"/>
      <c r="H6" s="95"/>
      <c r="I6" s="95"/>
      <c r="J6" s="95"/>
      <c r="K6" s="95"/>
    </row>
    <row r="7" spans="1:11">
      <c r="A7" s="208" t="s">
        <v>194</v>
      </c>
      <c r="B7" s="100" t="s">
        <v>195</v>
      </c>
      <c r="C7" s="101">
        <v>0.08</v>
      </c>
      <c r="D7" s="102"/>
      <c r="E7" s="208" t="s">
        <v>196</v>
      </c>
      <c r="F7" s="100" t="s">
        <v>197</v>
      </c>
      <c r="G7" s="103">
        <v>0.8</v>
      </c>
      <c r="H7" s="104"/>
      <c r="I7" s="95"/>
      <c r="J7" s="95"/>
      <c r="K7" s="95"/>
    </row>
    <row r="8" spans="1:11">
      <c r="A8" s="208"/>
      <c r="B8" s="100" t="s">
        <v>198</v>
      </c>
      <c r="C8" s="105"/>
      <c r="D8" s="102"/>
      <c r="E8" s="208"/>
      <c r="F8" s="100" t="s">
        <v>199</v>
      </c>
      <c r="G8" s="106">
        <v>0.15</v>
      </c>
      <c r="H8" s="104"/>
      <c r="I8" s="95"/>
      <c r="J8" s="95"/>
      <c r="K8" s="95"/>
    </row>
    <row r="9" spans="1:11">
      <c r="A9" s="208"/>
      <c r="B9" s="100" t="s">
        <v>200</v>
      </c>
      <c r="C9" s="105">
        <v>45</v>
      </c>
      <c r="D9" s="102"/>
      <c r="E9" s="208"/>
      <c r="F9" s="100" t="s">
        <v>200</v>
      </c>
      <c r="G9" s="107">
        <v>35</v>
      </c>
      <c r="H9" s="104"/>
      <c r="I9" s="95">
        <f>25000000/400000</f>
        <v>62.5</v>
      </c>
      <c r="J9" s="95"/>
      <c r="K9" s="95"/>
    </row>
    <row r="10" spans="1:11">
      <c r="A10" s="208"/>
      <c r="B10" s="100" t="s">
        <v>201</v>
      </c>
      <c r="C10" s="108">
        <f>'Punto de equilibrio'!N106</f>
        <v>52353.839387049775</v>
      </c>
      <c r="D10" s="102"/>
      <c r="E10" s="208"/>
      <c r="F10" s="100" t="s">
        <v>202</v>
      </c>
      <c r="G10" s="109">
        <v>4.4999999999999998E-2</v>
      </c>
      <c r="H10" s="104"/>
      <c r="I10" s="104"/>
      <c r="J10" s="110"/>
      <c r="K10" s="104"/>
    </row>
    <row r="11" spans="1:11">
      <c r="A11" s="208"/>
      <c r="B11" s="100" t="s">
        <v>202</v>
      </c>
      <c r="C11" s="111">
        <v>0.08</v>
      </c>
      <c r="D11" s="102"/>
      <c r="E11" s="208"/>
      <c r="F11" s="100" t="s">
        <v>203</v>
      </c>
      <c r="G11" s="106">
        <v>0.13</v>
      </c>
      <c r="H11" s="104"/>
      <c r="I11" s="104"/>
      <c r="J11" s="112"/>
      <c r="K11" s="104"/>
    </row>
    <row r="12" spans="1:11">
      <c r="A12" s="113"/>
      <c r="B12" s="104"/>
      <c r="C12" s="104"/>
      <c r="D12" s="102"/>
      <c r="E12" s="208"/>
      <c r="F12" s="100" t="s">
        <v>204</v>
      </c>
      <c r="G12" s="114">
        <f>C10*G8</f>
        <v>7853.0759080574662</v>
      </c>
      <c r="H12" s="104"/>
      <c r="I12" s="104"/>
      <c r="J12" s="104"/>
      <c r="K12" s="104"/>
    </row>
    <row r="13" spans="1:11">
      <c r="A13" s="99"/>
      <c r="B13" s="95"/>
      <c r="C13" s="95"/>
      <c r="D13" s="96"/>
      <c r="E13" s="95"/>
      <c r="F13" s="95"/>
      <c r="G13" s="95"/>
      <c r="H13" s="95"/>
      <c r="I13" s="95"/>
      <c r="J13" s="95"/>
      <c r="K13" s="95"/>
    </row>
    <row r="14" spans="1:11">
      <c r="A14" s="99"/>
      <c r="B14" s="95"/>
      <c r="C14" s="95"/>
      <c r="D14" s="96"/>
      <c r="E14" s="95"/>
      <c r="F14" s="95"/>
      <c r="G14" s="95"/>
      <c r="H14" s="95"/>
      <c r="I14" s="95"/>
      <c r="J14" s="95"/>
      <c r="K14" s="95"/>
    </row>
    <row r="15" spans="1:11">
      <c r="A15" s="99" t="s">
        <v>122</v>
      </c>
      <c r="B15" s="95"/>
      <c r="C15" s="95"/>
      <c r="D15" s="96"/>
      <c r="E15" s="95"/>
      <c r="F15" s="95"/>
      <c r="G15" s="95"/>
      <c r="H15" s="95"/>
      <c r="I15" s="95"/>
      <c r="J15" s="95"/>
      <c r="K15" s="95"/>
    </row>
    <row r="16" spans="1:11">
      <c r="A16" s="99" t="s">
        <v>123</v>
      </c>
      <c r="B16" s="95"/>
      <c r="C16" s="95"/>
      <c r="D16" s="96"/>
      <c r="E16" s="95"/>
      <c r="F16" s="95"/>
      <c r="G16" s="95"/>
      <c r="H16" s="95"/>
      <c r="I16" s="95"/>
      <c r="J16" s="95"/>
      <c r="K16" s="95"/>
    </row>
    <row r="17" spans="1:11">
      <c r="A17" s="99" t="s">
        <v>124</v>
      </c>
      <c r="B17" s="95"/>
      <c r="C17" s="95"/>
      <c r="D17" s="96"/>
      <c r="E17" s="95"/>
      <c r="F17" s="95"/>
      <c r="G17" s="95"/>
      <c r="H17" s="95"/>
      <c r="I17" s="95"/>
      <c r="J17" s="95"/>
      <c r="K17" s="95"/>
    </row>
    <row r="18" spans="1:11">
      <c r="A18" s="95" t="s">
        <v>125</v>
      </c>
      <c r="B18" s="95"/>
      <c r="C18" s="115">
        <f>C10+G12</f>
        <v>60206.915295107239</v>
      </c>
      <c r="D18" s="96" t="s">
        <v>94</v>
      </c>
      <c r="E18" s="116">
        <f>G5</f>
        <v>100</v>
      </c>
      <c r="F18" s="117"/>
      <c r="G18" s="117">
        <f>C18*E18</f>
        <v>6020691.5295107244</v>
      </c>
      <c r="H18" s="117"/>
      <c r="I18" s="117"/>
      <c r="J18" s="117"/>
      <c r="K18" s="95"/>
    </row>
    <row r="19" spans="1:11">
      <c r="A19" s="95" t="s">
        <v>126</v>
      </c>
      <c r="B19" s="95" t="s">
        <v>127</v>
      </c>
      <c r="C19" s="115">
        <f>C10+G12</f>
        <v>60206.915295107239</v>
      </c>
      <c r="D19" s="96" t="s">
        <v>94</v>
      </c>
      <c r="E19" s="116">
        <f>G3</f>
        <v>35.992520575718522</v>
      </c>
      <c r="F19" s="117">
        <f>C19*E19</f>
        <v>2166998.6375596896</v>
      </c>
      <c r="G19" s="117"/>
      <c r="H19" s="117"/>
      <c r="I19" s="117"/>
      <c r="J19" s="117"/>
      <c r="K19" s="95"/>
    </row>
    <row r="20" spans="1:11">
      <c r="A20" s="95"/>
      <c r="B20" s="95" t="s">
        <v>128</v>
      </c>
      <c r="C20" s="95"/>
      <c r="D20" s="96"/>
      <c r="E20" s="95"/>
      <c r="F20" s="117">
        <f>F35*C10</f>
        <v>221818.57499999992</v>
      </c>
      <c r="G20" s="117">
        <f>-(F19+F20)</f>
        <v>-2388817.2125596893</v>
      </c>
      <c r="H20" s="117"/>
      <c r="I20" s="117"/>
      <c r="J20" s="117"/>
      <c r="K20" s="95"/>
    </row>
    <row r="21" spans="1:11" ht="15.75" thickBot="1">
      <c r="A21" s="95"/>
      <c r="B21" s="99" t="s">
        <v>129</v>
      </c>
      <c r="C21" s="95"/>
      <c r="D21" s="96"/>
      <c r="E21" s="95"/>
      <c r="F21" s="117"/>
      <c r="G21" s="118">
        <f>G18+G20</f>
        <v>3631874.3169510351</v>
      </c>
      <c r="H21" s="119">
        <f>G21/G18</f>
        <v>0.60323208706993525</v>
      </c>
      <c r="I21" s="117"/>
      <c r="J21" s="117"/>
      <c r="K21" s="95"/>
    </row>
    <row r="22" spans="1:11" ht="15.75" thickTop="1">
      <c r="A22" s="95"/>
      <c r="B22" s="95"/>
      <c r="C22" s="95"/>
      <c r="D22" s="96"/>
      <c r="E22" s="95"/>
      <c r="F22" s="117"/>
      <c r="G22" s="117"/>
      <c r="H22" s="120"/>
      <c r="I22" s="117"/>
      <c r="J22" s="117"/>
      <c r="K22" s="95"/>
    </row>
    <row r="23" spans="1:11">
      <c r="A23" s="99" t="s">
        <v>130</v>
      </c>
      <c r="B23" s="95"/>
      <c r="C23" s="95"/>
      <c r="D23" s="96"/>
      <c r="E23" s="95"/>
      <c r="F23" s="95"/>
      <c r="G23" s="95"/>
      <c r="H23" s="121"/>
      <c r="I23" s="117"/>
      <c r="J23" s="117"/>
      <c r="K23" s="95"/>
    </row>
    <row r="24" spans="1:11">
      <c r="A24" s="95" t="s">
        <v>125</v>
      </c>
      <c r="B24" s="95"/>
      <c r="C24" s="115">
        <f>C10</f>
        <v>52353.839387049775</v>
      </c>
      <c r="D24" s="96" t="s">
        <v>94</v>
      </c>
      <c r="E24" s="116">
        <f>G5</f>
        <v>100</v>
      </c>
      <c r="F24" s="117"/>
      <c r="G24" s="117">
        <f>C24*E24</f>
        <v>5235383.9387049777</v>
      </c>
      <c r="H24" s="120"/>
      <c r="I24" s="117"/>
      <c r="J24" s="117"/>
      <c r="K24" s="95"/>
    </row>
    <row r="25" spans="1:11">
      <c r="A25" s="95" t="s">
        <v>126</v>
      </c>
      <c r="B25" s="95" t="s">
        <v>127</v>
      </c>
      <c r="C25" s="115">
        <f>C10</f>
        <v>52353.839387049775</v>
      </c>
      <c r="D25" s="96" t="s">
        <v>94</v>
      </c>
      <c r="E25" s="116">
        <f>G3</f>
        <v>35.992520575718522</v>
      </c>
      <c r="F25" s="117">
        <f>C25*E25</f>
        <v>1884346.6413562519</v>
      </c>
      <c r="G25" s="117"/>
      <c r="H25" s="120"/>
      <c r="I25" s="117"/>
      <c r="J25" s="117"/>
      <c r="K25" s="95"/>
    </row>
    <row r="26" spans="1:11">
      <c r="A26" s="95"/>
      <c r="B26" s="95" t="s">
        <v>128</v>
      </c>
      <c r="C26" s="95"/>
      <c r="D26" s="96"/>
      <c r="E26" s="95"/>
      <c r="F26" s="117">
        <f>F35*C10</f>
        <v>221818.57499999992</v>
      </c>
      <c r="G26" s="117">
        <f>-(F25+F26)</f>
        <v>-2106165.2163562519</v>
      </c>
      <c r="H26" s="120"/>
      <c r="I26" s="117"/>
      <c r="J26" s="117"/>
      <c r="K26" s="95"/>
    </row>
    <row r="27" spans="1:11" ht="15.75" thickBot="1">
      <c r="A27" s="95"/>
      <c r="B27" s="99" t="s">
        <v>129</v>
      </c>
      <c r="C27" s="95"/>
      <c r="D27" s="96"/>
      <c r="E27" s="95"/>
      <c r="F27" s="117"/>
      <c r="G27" s="118">
        <f>G24+G26</f>
        <v>3129218.7223487259</v>
      </c>
      <c r="H27" s="119">
        <f>G27/G24</f>
        <v>0.59770568099400334</v>
      </c>
      <c r="I27" s="117"/>
      <c r="J27" s="117"/>
      <c r="K27" s="95"/>
    </row>
    <row r="28" spans="1:11" ht="15.75" thickTop="1">
      <c r="A28" s="95"/>
      <c r="B28" s="99"/>
      <c r="C28" s="95"/>
      <c r="D28" s="96"/>
      <c r="E28" s="95"/>
      <c r="F28" s="117"/>
      <c r="G28" s="122"/>
      <c r="H28" s="119"/>
      <c r="I28" s="117"/>
      <c r="J28" s="117"/>
      <c r="K28" s="95"/>
    </row>
    <row r="29" spans="1:11">
      <c r="A29" s="95"/>
      <c r="B29" s="99" t="s">
        <v>131</v>
      </c>
      <c r="C29" s="99"/>
      <c r="D29" s="123"/>
      <c r="E29" s="99"/>
      <c r="F29" s="124"/>
      <c r="G29" s="124">
        <f>G21-G27</f>
        <v>502655.59460230917</v>
      </c>
      <c r="H29" s="117"/>
      <c r="I29" s="117"/>
      <c r="J29" s="117"/>
      <c r="K29" s="95"/>
    </row>
    <row r="30" spans="1:11">
      <c r="A30" s="95"/>
      <c r="B30" s="95"/>
      <c r="C30" s="95"/>
      <c r="D30" s="96"/>
      <c r="E30" s="95"/>
      <c r="F30" s="117"/>
      <c r="G30" s="117"/>
      <c r="H30" s="117"/>
      <c r="I30" s="117"/>
      <c r="J30" s="117"/>
      <c r="K30" s="95"/>
    </row>
    <row r="31" spans="1:11">
      <c r="A31" s="95"/>
      <c r="B31" s="125" t="s">
        <v>132</v>
      </c>
      <c r="C31" s="95"/>
      <c r="D31" s="96"/>
      <c r="E31" s="95"/>
      <c r="F31" s="117" t="s">
        <v>133</v>
      </c>
      <c r="G31" s="117"/>
      <c r="H31" s="117"/>
      <c r="I31" s="117"/>
      <c r="J31" s="126">
        <f>C10</f>
        <v>52353.839387049775</v>
      </c>
      <c r="K31" s="127">
        <f>J31*1.12</f>
        <v>58636.300113495752</v>
      </c>
    </row>
    <row r="32" spans="1:11">
      <c r="A32" s="95"/>
      <c r="B32" s="95"/>
      <c r="C32" s="95"/>
      <c r="D32" s="96"/>
      <c r="E32" s="95"/>
      <c r="F32" s="117" t="s">
        <v>134</v>
      </c>
      <c r="G32" s="117"/>
      <c r="H32" s="117"/>
      <c r="I32" s="124" t="s">
        <v>135</v>
      </c>
      <c r="J32" s="124">
        <v>25000000</v>
      </c>
      <c r="K32" s="124">
        <v>25000000</v>
      </c>
    </row>
    <row r="33" spans="1:11">
      <c r="A33" s="95"/>
      <c r="B33" s="95"/>
      <c r="C33" s="95"/>
      <c r="D33" s="96"/>
      <c r="E33" s="95"/>
      <c r="F33" s="117" t="s">
        <v>136</v>
      </c>
      <c r="G33" s="117"/>
      <c r="H33" s="117"/>
      <c r="I33" s="117"/>
      <c r="J33" s="117"/>
      <c r="K33" s="95"/>
    </row>
    <row r="34" spans="1:11">
      <c r="A34" s="95"/>
      <c r="B34" s="95" t="s">
        <v>137</v>
      </c>
      <c r="C34" s="95"/>
      <c r="D34" s="96"/>
      <c r="E34" s="95"/>
      <c r="F34" s="117" t="s">
        <v>138</v>
      </c>
      <c r="G34" s="117"/>
      <c r="H34" s="117"/>
      <c r="I34" s="117"/>
      <c r="J34" s="117"/>
      <c r="K34" s="95"/>
    </row>
    <row r="35" spans="1:11">
      <c r="A35" s="95"/>
      <c r="B35" s="95" t="s">
        <v>139</v>
      </c>
      <c r="C35" s="116">
        <f>G4</f>
        <v>40.229431900599671</v>
      </c>
      <c r="D35" s="96" t="s">
        <v>98</v>
      </c>
      <c r="E35" s="116">
        <f>G3</f>
        <v>35.992520575718522</v>
      </c>
      <c r="F35" s="128">
        <f>C35-E35</f>
        <v>4.2369113248811487</v>
      </c>
      <c r="G35" s="117"/>
      <c r="H35" s="117"/>
      <c r="I35" s="117" t="s">
        <v>140</v>
      </c>
      <c r="J35" s="117">
        <f>J32/J31</f>
        <v>477.51989715932831</v>
      </c>
      <c r="K35" s="117">
        <f>K32/K31</f>
        <v>426.35705103511452</v>
      </c>
    </row>
    <row r="36" spans="1:11">
      <c r="A36" s="95"/>
      <c r="B36" s="95"/>
      <c r="C36" s="95"/>
      <c r="D36" s="96"/>
      <c r="E36" s="95"/>
      <c r="F36" s="117"/>
      <c r="G36" s="117"/>
      <c r="H36" s="117"/>
      <c r="I36" s="117"/>
      <c r="J36" s="117"/>
      <c r="K36" s="117"/>
    </row>
    <row r="37" spans="1:11">
      <c r="A37" s="95"/>
      <c r="B37" s="95" t="s">
        <v>141</v>
      </c>
      <c r="C37" s="95"/>
      <c r="D37" s="96"/>
      <c r="E37" s="95"/>
      <c r="F37" s="117"/>
      <c r="G37" s="117"/>
      <c r="H37" s="117"/>
      <c r="I37" s="117"/>
      <c r="J37" s="117"/>
      <c r="K37" s="117"/>
    </row>
    <row r="38" spans="1:11">
      <c r="A38" s="95"/>
      <c r="B38" s="95" t="s">
        <v>142</v>
      </c>
      <c r="C38" s="116">
        <f>F35</f>
        <v>4.2369113248811487</v>
      </c>
      <c r="D38" s="96" t="s">
        <v>143</v>
      </c>
      <c r="E38" s="115">
        <f>$C$17</f>
        <v>0</v>
      </c>
      <c r="F38" s="129">
        <f>C38*E38</f>
        <v>0</v>
      </c>
      <c r="G38" s="117"/>
      <c r="H38" s="117"/>
      <c r="I38" s="124" t="s">
        <v>144</v>
      </c>
      <c r="J38" s="124">
        <f>J40+J44</f>
        <v>513.51241773504682</v>
      </c>
      <c r="K38" s="124">
        <f>K40+K44</f>
        <v>462.34957161083304</v>
      </c>
    </row>
    <row r="39" spans="1:11">
      <c r="A39" s="95"/>
      <c r="B39" s="95"/>
      <c r="C39" s="95"/>
      <c r="D39" s="96"/>
      <c r="E39" s="95"/>
      <c r="F39" s="117"/>
      <c r="G39" s="117"/>
      <c r="H39" s="117"/>
      <c r="I39" s="95"/>
      <c r="J39" s="117"/>
      <c r="K39" s="117"/>
    </row>
    <row r="40" spans="1:11">
      <c r="A40" s="99" t="s">
        <v>145</v>
      </c>
      <c r="B40" s="95"/>
      <c r="C40" s="95"/>
      <c r="D40" s="96"/>
      <c r="E40" s="95"/>
      <c r="F40" s="117"/>
      <c r="G40" s="117"/>
      <c r="H40" s="117"/>
      <c r="I40" s="117" t="s">
        <v>146</v>
      </c>
      <c r="J40" s="117">
        <f>G3</f>
        <v>35.992520575718522</v>
      </c>
      <c r="K40" s="117">
        <f>G3</f>
        <v>35.992520575718522</v>
      </c>
    </row>
    <row r="41" spans="1:11">
      <c r="A41" s="95"/>
      <c r="B41" s="99" t="s">
        <v>147</v>
      </c>
      <c r="C41" s="95"/>
      <c r="D41" s="96"/>
      <c r="E41" s="95"/>
      <c r="F41" s="117"/>
      <c r="G41" s="117"/>
      <c r="H41" s="117"/>
      <c r="I41" s="117" t="s">
        <v>148</v>
      </c>
      <c r="J41" s="117">
        <f>J31*J40</f>
        <v>1884346.6413562519</v>
      </c>
      <c r="K41" s="117">
        <f>K31*K40</f>
        <v>2110468.2383190021</v>
      </c>
    </row>
    <row r="42" spans="1:11">
      <c r="A42" s="95"/>
      <c r="B42" s="99"/>
      <c r="C42" s="95"/>
      <c r="D42" s="96"/>
      <c r="E42" s="95"/>
      <c r="F42" s="117"/>
      <c r="G42" s="117"/>
      <c r="H42" s="117"/>
      <c r="I42" s="117"/>
      <c r="J42" s="117"/>
      <c r="K42" s="117"/>
    </row>
    <row r="43" spans="1:11">
      <c r="A43" s="95"/>
      <c r="B43" s="130" t="s">
        <v>149</v>
      </c>
      <c r="C43" s="95"/>
      <c r="D43" s="96"/>
      <c r="E43" s="95"/>
      <c r="F43" s="117"/>
      <c r="G43" s="117"/>
      <c r="H43" s="117"/>
      <c r="I43" s="117" t="s">
        <v>135</v>
      </c>
      <c r="J43" s="117">
        <f>J32</f>
        <v>25000000</v>
      </c>
      <c r="K43" s="117">
        <f>K32</f>
        <v>25000000</v>
      </c>
    </row>
    <row r="44" spans="1:11">
      <c r="A44" s="95"/>
      <c r="B44" s="95" t="s">
        <v>150</v>
      </c>
      <c r="C44" s="95"/>
      <c r="D44" s="96"/>
      <c r="E44" s="95"/>
      <c r="F44" s="117"/>
      <c r="G44" s="117"/>
      <c r="H44" s="117"/>
      <c r="I44" s="117" t="s">
        <v>140</v>
      </c>
      <c r="J44" s="117">
        <f>J35</f>
        <v>477.51989715932831</v>
      </c>
      <c r="K44" s="117">
        <f>K35</f>
        <v>426.35705103511452</v>
      </c>
    </row>
    <row r="45" spans="1:11">
      <c r="A45" s="95"/>
      <c r="B45" s="95" t="s">
        <v>151</v>
      </c>
      <c r="C45" s="131">
        <f>G5</f>
        <v>100</v>
      </c>
      <c r="D45" s="96" t="s">
        <v>98</v>
      </c>
      <c r="E45" s="132">
        <f>G3</f>
        <v>35.992520575718522</v>
      </c>
      <c r="F45" s="115">
        <f>G12</f>
        <v>7853.0759080574662</v>
      </c>
      <c r="G45" s="117">
        <f>(C45-E45)*F45</f>
        <v>502655.59460230888</v>
      </c>
      <c r="H45" s="117"/>
      <c r="I45" s="117"/>
      <c r="J45" s="117"/>
      <c r="K45" s="117"/>
    </row>
    <row r="46" spans="1:11">
      <c r="A46" s="95"/>
      <c r="B46" s="95"/>
      <c r="C46" s="95"/>
      <c r="D46" s="96"/>
      <c r="E46" s="95"/>
      <c r="F46" s="117"/>
      <c r="G46" s="117"/>
      <c r="H46" s="117"/>
      <c r="I46" s="117"/>
      <c r="J46" s="117"/>
      <c r="K46" s="117"/>
    </row>
    <row r="47" spans="1:11">
      <c r="A47" s="95"/>
      <c r="B47" s="130" t="s">
        <v>152</v>
      </c>
      <c r="C47" s="95"/>
      <c r="D47" s="96"/>
      <c r="E47" s="95"/>
      <c r="F47" s="117"/>
      <c r="G47" s="117"/>
      <c r="H47" s="117"/>
      <c r="I47" s="117"/>
      <c r="J47" s="117"/>
      <c r="K47" s="117"/>
    </row>
    <row r="48" spans="1:11">
      <c r="A48" s="95"/>
      <c r="B48" s="95" t="s">
        <v>153</v>
      </c>
      <c r="C48" s="133">
        <v>1</v>
      </c>
      <c r="D48" s="96" t="s">
        <v>98</v>
      </c>
      <c r="E48" s="134">
        <f>F25</f>
        <v>1884346.6413562519</v>
      </c>
      <c r="F48" s="117">
        <f>G18-G24</f>
        <v>785307.59080574661</v>
      </c>
      <c r="G48" s="117">
        <f>(1-(E48/E49))*F48</f>
        <v>502655.59460230882</v>
      </c>
      <c r="H48" s="117"/>
      <c r="I48" s="117"/>
      <c r="J48" s="117"/>
      <c r="K48" s="117"/>
    </row>
    <row r="49" spans="1:11">
      <c r="A49" s="95"/>
      <c r="B49" s="95"/>
      <c r="C49" s="133"/>
      <c r="D49" s="96"/>
      <c r="E49" s="135">
        <f>G24</f>
        <v>5235383.9387049777</v>
      </c>
      <c r="F49" s="117"/>
      <c r="G49" s="117"/>
      <c r="H49" s="117"/>
      <c r="I49" s="117"/>
      <c r="J49" s="117"/>
      <c r="K49" s="117"/>
    </row>
    <row r="50" spans="1:11">
      <c r="A50" s="95"/>
      <c r="B50" s="95"/>
      <c r="C50" s="95"/>
      <c r="D50" s="96"/>
      <c r="E50" s="95"/>
      <c r="F50" s="117"/>
      <c r="G50" s="117"/>
      <c r="H50" s="117"/>
      <c r="I50" s="117"/>
      <c r="J50" s="117"/>
      <c r="K50" s="117"/>
    </row>
    <row r="51" spans="1:11">
      <c r="A51" s="99" t="s">
        <v>154</v>
      </c>
      <c r="B51" s="95"/>
      <c r="C51" s="95"/>
      <c r="D51" s="96"/>
      <c r="E51" s="95"/>
      <c r="F51" s="117"/>
      <c r="G51" s="117"/>
      <c r="H51" s="117"/>
      <c r="I51" s="117"/>
      <c r="J51" s="117"/>
      <c r="K51" s="117"/>
    </row>
    <row r="52" spans="1:11">
      <c r="A52" s="99" t="s">
        <v>155</v>
      </c>
      <c r="B52" s="95"/>
      <c r="C52" s="95"/>
      <c r="D52" s="96"/>
      <c r="E52" s="95"/>
      <c r="F52" s="117"/>
      <c r="G52" s="117"/>
      <c r="H52" s="117"/>
      <c r="I52" s="117"/>
      <c r="J52" s="117"/>
      <c r="K52" s="117"/>
    </row>
    <row r="53" spans="1:11">
      <c r="A53" s="95"/>
      <c r="B53" s="95"/>
      <c r="C53" s="95"/>
      <c r="D53" s="96"/>
      <c r="E53" s="95"/>
      <c r="F53" s="117"/>
      <c r="G53" s="117"/>
      <c r="H53" s="117"/>
      <c r="I53" s="117"/>
      <c r="J53" s="117"/>
      <c r="K53" s="117"/>
    </row>
    <row r="54" spans="1:11">
      <c r="A54" s="95"/>
      <c r="B54" s="130" t="s">
        <v>156</v>
      </c>
      <c r="C54" s="95"/>
      <c r="D54" s="96"/>
      <c r="E54" s="95"/>
      <c r="F54" s="117"/>
      <c r="G54" s="117"/>
      <c r="H54" s="117"/>
      <c r="I54" s="117"/>
      <c r="J54" s="117"/>
      <c r="K54" s="117"/>
    </row>
    <row r="55" spans="1:11">
      <c r="A55" s="95"/>
      <c r="B55" s="95" t="s">
        <v>157</v>
      </c>
      <c r="C55" s="95"/>
      <c r="D55" s="96"/>
      <c r="E55" s="136">
        <f>F58</f>
        <v>2106165.2163562519</v>
      </c>
      <c r="F55" s="137">
        <f>E55/E56</f>
        <v>263270.65204453148</v>
      </c>
      <c r="G55" s="117"/>
      <c r="H55" s="117"/>
      <c r="I55" s="117"/>
      <c r="J55" s="117"/>
      <c r="K55" s="117"/>
    </row>
    <row r="56" spans="1:11">
      <c r="A56" s="95"/>
      <c r="B56" s="95"/>
      <c r="C56" s="95"/>
      <c r="D56" s="96"/>
      <c r="E56" s="127">
        <f>F59</f>
        <v>8</v>
      </c>
      <c r="F56" s="117"/>
      <c r="G56" s="117"/>
      <c r="H56" s="117"/>
      <c r="I56" s="117"/>
      <c r="J56" s="117"/>
      <c r="K56" s="117"/>
    </row>
    <row r="57" spans="1:11">
      <c r="A57" s="95"/>
      <c r="B57" s="95"/>
      <c r="C57" s="95"/>
      <c r="D57" s="96"/>
      <c r="E57" s="95"/>
      <c r="F57" s="117"/>
      <c r="G57" s="117"/>
      <c r="H57" s="117"/>
      <c r="I57" s="117"/>
      <c r="J57" s="117"/>
      <c r="K57" s="117"/>
    </row>
    <row r="58" spans="1:11">
      <c r="A58" s="95"/>
      <c r="B58" s="121" t="s">
        <v>158</v>
      </c>
      <c r="C58" s="116">
        <f>'Punto de equilibrio'!Q52</f>
        <v>40.229431900599671</v>
      </c>
      <c r="D58" s="96" t="s">
        <v>143</v>
      </c>
      <c r="E58" s="115">
        <f>C24</f>
        <v>52353.839387049775</v>
      </c>
      <c r="F58" s="117">
        <f>C58*E58</f>
        <v>2106165.2163562519</v>
      </c>
      <c r="G58" s="117"/>
      <c r="H58" s="117"/>
      <c r="I58" s="117"/>
      <c r="J58" s="117"/>
      <c r="K58" s="117"/>
    </row>
    <row r="59" spans="1:11">
      <c r="A59" s="95"/>
      <c r="B59" s="121" t="s">
        <v>159</v>
      </c>
      <c r="C59" s="95">
        <v>360</v>
      </c>
      <c r="D59" s="96" t="s">
        <v>160</v>
      </c>
      <c r="E59" s="138">
        <f>C9</f>
        <v>45</v>
      </c>
      <c r="F59" s="139">
        <f>C59/E59</f>
        <v>8</v>
      </c>
      <c r="G59" s="117"/>
      <c r="H59" s="117"/>
      <c r="I59" s="117"/>
      <c r="J59" s="117"/>
      <c r="K59" s="117"/>
    </row>
    <row r="60" spans="1:11">
      <c r="A60" s="95"/>
      <c r="B60" s="95"/>
      <c r="C60" s="95"/>
      <c r="D60" s="96"/>
      <c r="E60" s="95"/>
      <c r="F60" s="117"/>
      <c r="G60" s="117"/>
      <c r="H60" s="117"/>
      <c r="I60" s="117"/>
      <c r="J60" s="117"/>
      <c r="K60" s="117"/>
    </row>
    <row r="61" spans="1:11">
      <c r="A61" s="95"/>
      <c r="B61" s="130" t="s">
        <v>161</v>
      </c>
      <c r="C61" s="95"/>
      <c r="D61" s="96"/>
      <c r="E61" s="95"/>
      <c r="F61" s="117"/>
      <c r="G61" s="117"/>
      <c r="H61" s="117"/>
      <c r="I61" s="117"/>
      <c r="J61" s="117"/>
      <c r="K61" s="117"/>
    </row>
    <row r="62" spans="1:11">
      <c r="A62" s="95"/>
      <c r="B62" s="95" t="s">
        <v>157</v>
      </c>
      <c r="C62" s="95"/>
      <c r="D62" s="96"/>
      <c r="E62" s="136">
        <f>F19+F20</f>
        <v>2388817.2125596893</v>
      </c>
      <c r="F62" s="137">
        <f>E62/E63</f>
        <v>232246.11788774756</v>
      </c>
      <c r="G62" s="117"/>
      <c r="H62" s="117"/>
      <c r="I62" s="117"/>
      <c r="J62" s="117"/>
      <c r="K62" s="117"/>
    </row>
    <row r="63" spans="1:11">
      <c r="A63" s="95"/>
      <c r="B63" s="95"/>
      <c r="C63" s="95"/>
      <c r="D63" s="96"/>
      <c r="E63" s="140">
        <f>F66</f>
        <v>10.285714285714286</v>
      </c>
      <c r="F63" s="117"/>
      <c r="G63" s="117"/>
      <c r="H63" s="117"/>
      <c r="I63" s="117"/>
      <c r="J63" s="117"/>
      <c r="K63" s="117"/>
    </row>
    <row r="64" spans="1:11">
      <c r="A64" s="95"/>
      <c r="B64" s="95"/>
      <c r="C64" s="95"/>
      <c r="D64" s="96"/>
      <c r="E64" s="95"/>
      <c r="F64" s="117"/>
      <c r="G64" s="117"/>
      <c r="H64" s="117"/>
      <c r="I64" s="117"/>
      <c r="J64" s="117"/>
      <c r="K64" s="117"/>
    </row>
    <row r="65" spans="1:11">
      <c r="A65" s="95"/>
      <c r="B65" s="121" t="s">
        <v>158</v>
      </c>
      <c r="C65" s="116">
        <f>-G20/C19</f>
        <v>39.676791293006474</v>
      </c>
      <c r="D65" s="96" t="s">
        <v>143</v>
      </c>
      <c r="E65" s="115">
        <f>C18</f>
        <v>60206.915295107239</v>
      </c>
      <c r="F65" s="117">
        <f>C65*E65</f>
        <v>2388817.2125596893</v>
      </c>
      <c r="G65" s="117"/>
      <c r="H65" s="117"/>
      <c r="I65" s="117"/>
      <c r="J65" s="117"/>
      <c r="K65" s="117"/>
    </row>
    <row r="66" spans="1:11">
      <c r="A66" s="95"/>
      <c r="B66" s="121" t="s">
        <v>159</v>
      </c>
      <c r="C66" s="95">
        <v>360</v>
      </c>
      <c r="D66" s="96" t="s">
        <v>160</v>
      </c>
      <c r="E66" s="138">
        <f>G9</f>
        <v>35</v>
      </c>
      <c r="F66" s="141">
        <f>C66/E66</f>
        <v>10.285714285714286</v>
      </c>
      <c r="G66" s="117"/>
      <c r="H66" s="117"/>
      <c r="I66" s="117"/>
      <c r="J66" s="117"/>
      <c r="K66" s="117"/>
    </row>
    <row r="67" spans="1:11">
      <c r="A67" s="95"/>
      <c r="B67" s="95"/>
      <c r="C67" s="95"/>
      <c r="D67" s="96"/>
      <c r="E67" s="95"/>
      <c r="F67" s="117"/>
      <c r="G67" s="117"/>
      <c r="H67" s="117"/>
      <c r="I67" s="117"/>
      <c r="J67" s="117"/>
      <c r="K67" s="117"/>
    </row>
    <row r="68" spans="1:11">
      <c r="A68" s="95"/>
      <c r="B68" s="95"/>
      <c r="C68" s="95"/>
      <c r="D68" s="96"/>
      <c r="E68" s="95"/>
      <c r="F68" s="117"/>
      <c r="G68" s="117"/>
      <c r="H68" s="117"/>
      <c r="I68" s="117"/>
      <c r="J68" s="117"/>
      <c r="K68" s="117"/>
    </row>
    <row r="69" spans="1:11">
      <c r="A69" s="95"/>
      <c r="B69" s="99" t="s">
        <v>162</v>
      </c>
      <c r="C69" s="95"/>
      <c r="D69" s="96"/>
      <c r="E69" s="95"/>
      <c r="F69" s="117"/>
      <c r="G69" s="117"/>
      <c r="H69" s="117"/>
      <c r="I69" s="117"/>
      <c r="J69" s="117"/>
      <c r="K69" s="117"/>
    </row>
    <row r="70" spans="1:11">
      <c r="A70" s="95"/>
      <c r="B70" s="99" t="s">
        <v>163</v>
      </c>
      <c r="C70" s="116">
        <f>F62</f>
        <v>232246.11788774756</v>
      </c>
      <c r="D70" s="96" t="s">
        <v>98</v>
      </c>
      <c r="E70" s="116">
        <f>F55</f>
        <v>263270.65204453148</v>
      </c>
      <c r="F70" s="117">
        <f>C70-E70</f>
        <v>-31024.53415678392</v>
      </c>
      <c r="G70" s="117"/>
      <c r="H70" s="117"/>
      <c r="I70" s="117"/>
      <c r="J70" s="117"/>
      <c r="K70" s="117"/>
    </row>
    <row r="71" spans="1:11">
      <c r="A71" s="95"/>
      <c r="B71" s="95"/>
      <c r="C71" s="95"/>
      <c r="D71" s="96"/>
      <c r="E71" s="95"/>
      <c r="F71" s="117"/>
      <c r="G71" s="117"/>
      <c r="H71" s="117"/>
      <c r="I71" s="117"/>
      <c r="J71" s="117"/>
      <c r="K71" s="117"/>
    </row>
    <row r="72" spans="1:11">
      <c r="A72" s="95"/>
      <c r="B72" s="99" t="s">
        <v>164</v>
      </c>
      <c r="C72" s="95"/>
      <c r="D72" s="96"/>
      <c r="E72" s="95"/>
      <c r="F72" s="117"/>
      <c r="G72" s="117"/>
      <c r="H72" s="117"/>
      <c r="I72" s="117"/>
      <c r="J72" s="117"/>
      <c r="K72" s="117"/>
    </row>
    <row r="73" spans="1:11">
      <c r="A73" s="95"/>
      <c r="B73" s="95" t="s">
        <v>165</v>
      </c>
      <c r="C73" s="116">
        <f>F70</f>
        <v>-31024.53415678392</v>
      </c>
      <c r="D73" s="96" t="s">
        <v>143</v>
      </c>
      <c r="E73" s="142">
        <f>G11</f>
        <v>0.13</v>
      </c>
      <c r="F73" s="143">
        <f>C73*E73</f>
        <v>-4033.1894403819097</v>
      </c>
      <c r="G73" s="117"/>
      <c r="H73" s="117"/>
      <c r="I73" s="117"/>
      <c r="J73" s="117"/>
      <c r="K73" s="117"/>
    </row>
    <row r="74" spans="1:11">
      <c r="A74" s="95"/>
      <c r="B74" s="95"/>
      <c r="C74" s="95"/>
      <c r="D74" s="96"/>
      <c r="E74" s="95"/>
      <c r="F74" s="117"/>
      <c r="G74" s="117"/>
      <c r="H74" s="117"/>
      <c r="I74" s="117"/>
      <c r="J74" s="117"/>
      <c r="K74" s="117"/>
    </row>
    <row r="75" spans="1:11">
      <c r="A75" s="95"/>
      <c r="B75" s="95"/>
      <c r="C75" s="95"/>
      <c r="D75" s="96"/>
      <c r="E75" s="95"/>
      <c r="F75" s="117"/>
      <c r="G75" s="117"/>
      <c r="H75" s="117"/>
      <c r="I75" s="117"/>
      <c r="J75" s="117"/>
      <c r="K75" s="117"/>
    </row>
    <row r="76" spans="1:11">
      <c r="A76" s="95"/>
      <c r="B76" s="99" t="s">
        <v>166</v>
      </c>
      <c r="C76" s="95"/>
      <c r="D76" s="96"/>
      <c r="E76" s="95"/>
      <c r="F76" s="117"/>
      <c r="G76" s="117"/>
      <c r="H76" s="117"/>
      <c r="I76" s="117"/>
      <c r="J76" s="117"/>
      <c r="K76" s="117"/>
    </row>
    <row r="77" spans="1:11">
      <c r="A77" s="95"/>
      <c r="B77" s="99" t="s">
        <v>167</v>
      </c>
      <c r="C77" s="95"/>
      <c r="D77" s="96"/>
      <c r="E77" s="95"/>
      <c r="F77" s="117"/>
      <c r="G77" s="117"/>
      <c r="H77" s="117"/>
      <c r="I77" s="117"/>
      <c r="J77" s="117"/>
      <c r="K77" s="117"/>
    </row>
    <row r="78" spans="1:11">
      <c r="A78" s="95"/>
      <c r="B78" s="95" t="s">
        <v>168</v>
      </c>
      <c r="C78" s="115">
        <f>C10+G12</f>
        <v>60206.915295107239</v>
      </c>
      <c r="D78" s="96" t="s">
        <v>143</v>
      </c>
      <c r="E78" s="116">
        <f>G5</f>
        <v>100</v>
      </c>
      <c r="F78" s="144">
        <f>G10</f>
        <v>4.4999999999999998E-2</v>
      </c>
      <c r="G78" s="117">
        <f>(C78*E78)*F78</f>
        <v>270931.11882798257</v>
      </c>
      <c r="H78" s="145" t="s">
        <v>169</v>
      </c>
      <c r="I78" s="117"/>
      <c r="J78" s="117"/>
      <c r="K78" s="117"/>
    </row>
    <row r="79" spans="1:11">
      <c r="A79" s="95"/>
      <c r="B79" s="95"/>
      <c r="C79" s="115"/>
      <c r="D79" s="96"/>
      <c r="E79" s="116"/>
      <c r="F79" s="117"/>
      <c r="G79" s="117"/>
      <c r="H79" s="117"/>
      <c r="I79" s="117"/>
      <c r="J79" s="117"/>
      <c r="K79" s="117"/>
    </row>
    <row r="80" spans="1:11">
      <c r="A80" s="95"/>
      <c r="B80" s="99" t="s">
        <v>130</v>
      </c>
      <c r="C80" s="95"/>
      <c r="D80" s="96"/>
      <c r="E80" s="95"/>
      <c r="F80" s="117"/>
      <c r="G80" s="117"/>
      <c r="H80" s="117"/>
      <c r="I80" s="117"/>
      <c r="J80" s="117"/>
      <c r="K80" s="117"/>
    </row>
    <row r="81" spans="1:11">
      <c r="A81" s="95"/>
      <c r="B81" s="95" t="s">
        <v>170</v>
      </c>
      <c r="C81" s="115">
        <f>C10</f>
        <v>52353.839387049775</v>
      </c>
      <c r="D81" s="96" t="s">
        <v>143</v>
      </c>
      <c r="E81" s="116">
        <f>G5</f>
        <v>100</v>
      </c>
      <c r="F81" s="144">
        <f>C11</f>
        <v>0.08</v>
      </c>
      <c r="G81" s="117">
        <f>(C81*E81)*F81</f>
        <v>418830.71509639826</v>
      </c>
      <c r="H81" s="145" t="s">
        <v>171</v>
      </c>
      <c r="I81" s="117"/>
      <c r="J81" s="117"/>
      <c r="K81" s="117"/>
    </row>
    <row r="82" spans="1:11">
      <c r="A82" s="95"/>
      <c r="B82" s="99" t="s">
        <v>172</v>
      </c>
      <c r="C82" s="115"/>
      <c r="D82" s="96"/>
      <c r="E82" s="116"/>
      <c r="F82" s="146" t="str">
        <f>IF(G82&lt;0, "!!AHORRO!! ⇒","xxGASTOxx ⇒")</f>
        <v>!!AHORRO!! ⇒</v>
      </c>
      <c r="G82" s="124">
        <f>G78-G81</f>
        <v>-147899.59626841568</v>
      </c>
      <c r="H82" s="147" t="s">
        <v>173</v>
      </c>
      <c r="I82" s="117"/>
      <c r="J82" s="117"/>
      <c r="K82" s="117"/>
    </row>
    <row r="83" spans="1:11">
      <c r="A83" s="95"/>
      <c r="B83" s="95"/>
      <c r="C83" s="115"/>
      <c r="D83" s="96"/>
      <c r="E83" s="116"/>
      <c r="F83" s="117"/>
      <c r="G83" s="117"/>
      <c r="H83" s="117"/>
      <c r="I83" s="117"/>
      <c r="J83" s="117"/>
      <c r="K83" s="117"/>
    </row>
    <row r="84" spans="1:11">
      <c r="A84" s="95"/>
      <c r="B84" s="95"/>
      <c r="C84" s="115"/>
      <c r="D84" s="96"/>
      <c r="E84" s="116"/>
      <c r="F84" s="117"/>
      <c r="G84" s="117"/>
      <c r="H84" s="117"/>
      <c r="I84" s="117"/>
      <c r="J84" s="117"/>
      <c r="K84" s="117"/>
    </row>
    <row r="85" spans="1:11">
      <c r="A85" s="99" t="s">
        <v>174</v>
      </c>
      <c r="B85" s="95"/>
      <c r="C85" s="115"/>
      <c r="D85" s="96"/>
      <c r="E85" s="116"/>
      <c r="F85" s="117"/>
      <c r="G85" s="117"/>
      <c r="H85" s="117"/>
      <c r="I85" s="117"/>
      <c r="J85" s="117"/>
      <c r="K85" s="117"/>
    </row>
    <row r="86" spans="1:11">
      <c r="A86" s="99"/>
      <c r="B86" s="95"/>
      <c r="C86" s="115"/>
      <c r="D86" s="96"/>
      <c r="E86" s="116"/>
      <c r="F86" s="117"/>
      <c r="G86" s="117"/>
      <c r="H86" s="117"/>
      <c r="I86" s="117"/>
      <c r="J86" s="117"/>
      <c r="K86" s="117"/>
    </row>
    <row r="87" spans="1:11">
      <c r="A87" s="95"/>
      <c r="B87" s="99" t="s">
        <v>175</v>
      </c>
      <c r="C87" s="115"/>
      <c r="D87" s="96"/>
      <c r="E87" s="116"/>
      <c r="F87" s="117"/>
      <c r="G87" s="117"/>
      <c r="H87" s="117"/>
      <c r="I87" s="117"/>
      <c r="J87" s="117"/>
      <c r="K87" s="117"/>
    </row>
    <row r="88" spans="1:11">
      <c r="A88" s="95"/>
      <c r="B88" s="148" t="s">
        <v>176</v>
      </c>
      <c r="C88" s="142">
        <f>C7</f>
        <v>0.08</v>
      </c>
      <c r="D88" s="96" t="s">
        <v>143</v>
      </c>
      <c r="E88" s="142">
        <f>G7</f>
        <v>0.8</v>
      </c>
      <c r="F88" s="117">
        <f>G5*(C10+G12)</f>
        <v>6020691.5295107244</v>
      </c>
      <c r="G88" s="117">
        <f>C88*E88*F88</f>
        <v>385324.25788868638</v>
      </c>
      <c r="H88" s="117"/>
      <c r="I88" s="117"/>
      <c r="J88" s="117"/>
      <c r="K88" s="117"/>
    </row>
    <row r="89" spans="1:11">
      <c r="A89" s="95"/>
      <c r="B89" s="95"/>
      <c r="C89" s="115"/>
      <c r="D89" s="96"/>
      <c r="E89" s="116"/>
      <c r="F89" s="117"/>
      <c r="G89" s="117"/>
      <c r="H89" s="117"/>
      <c r="I89" s="117"/>
      <c r="J89" s="117"/>
      <c r="K89" s="117"/>
    </row>
    <row r="90" spans="1:11">
      <c r="A90" s="95"/>
      <c r="B90" s="95"/>
      <c r="C90" s="115"/>
      <c r="D90" s="96"/>
      <c r="E90" s="116"/>
      <c r="F90" s="117"/>
      <c r="G90" s="117"/>
      <c r="H90" s="117"/>
      <c r="I90" s="117"/>
      <c r="J90" s="117"/>
      <c r="K90" s="117"/>
    </row>
    <row r="91" spans="1:11">
      <c r="A91" s="99" t="s">
        <v>177</v>
      </c>
      <c r="B91" s="95"/>
      <c r="C91" s="115"/>
      <c r="D91" s="96"/>
      <c r="E91" s="116"/>
      <c r="F91" s="117"/>
      <c r="G91" s="117"/>
      <c r="H91" s="117"/>
      <c r="I91" s="117"/>
      <c r="J91" s="117"/>
      <c r="K91" s="117"/>
    </row>
    <row r="92" spans="1:11">
      <c r="A92" s="95"/>
      <c r="B92" s="95" t="s">
        <v>178</v>
      </c>
      <c r="C92" s="149" t="s">
        <v>179</v>
      </c>
      <c r="D92" s="96" t="s">
        <v>95</v>
      </c>
      <c r="E92" s="150">
        <f>G45</f>
        <v>502655.59460230888</v>
      </c>
      <c r="F92" s="117"/>
      <c r="G92" s="117"/>
      <c r="H92" s="117"/>
      <c r="I92" s="117"/>
      <c r="J92" s="117"/>
      <c r="K92" s="117"/>
    </row>
    <row r="93" spans="1:11">
      <c r="A93" s="95" t="s">
        <v>180</v>
      </c>
      <c r="B93" s="95" t="s">
        <v>181</v>
      </c>
      <c r="C93" s="99" t="s">
        <v>182</v>
      </c>
      <c r="D93" s="96" t="s">
        <v>95</v>
      </c>
      <c r="E93" s="150">
        <f>-F73</f>
        <v>4033.1894403819097</v>
      </c>
      <c r="F93" s="117"/>
      <c r="G93" s="117"/>
      <c r="H93" s="117"/>
      <c r="I93" s="117"/>
      <c r="J93" s="117"/>
      <c r="K93" s="117"/>
    </row>
    <row r="94" spans="1:11">
      <c r="A94" s="95" t="s">
        <v>180</v>
      </c>
      <c r="B94" s="95" t="s">
        <v>183</v>
      </c>
      <c r="C94" s="149" t="s">
        <v>184</v>
      </c>
      <c r="D94" s="96" t="s">
        <v>95</v>
      </c>
      <c r="E94" s="150">
        <f>-G82</f>
        <v>147899.59626841568</v>
      </c>
      <c r="F94" s="117"/>
      <c r="G94" s="117"/>
      <c r="H94" s="117"/>
      <c r="I94" s="117"/>
      <c r="J94" s="117"/>
      <c r="K94" s="117"/>
    </row>
    <row r="95" spans="1:11">
      <c r="A95" s="95" t="s">
        <v>126</v>
      </c>
      <c r="B95" s="95" t="s">
        <v>185</v>
      </c>
      <c r="C95" s="149" t="s">
        <v>186</v>
      </c>
      <c r="D95" s="96" t="s">
        <v>95</v>
      </c>
      <c r="E95" s="150">
        <f>-G88</f>
        <v>-385324.25788868638</v>
      </c>
      <c r="F95" s="117"/>
      <c r="G95" s="117"/>
      <c r="H95" s="117"/>
      <c r="I95" s="117"/>
      <c r="J95" s="117"/>
      <c r="K95" s="117"/>
    </row>
    <row r="96" spans="1:11" ht="15.75" thickBot="1">
      <c r="A96" s="95"/>
      <c r="B96" s="148" t="s">
        <v>187</v>
      </c>
      <c r="C96" s="115"/>
      <c r="D96" s="96" t="s">
        <v>95</v>
      </c>
      <c r="E96" s="151">
        <f>SUM(E92:E95)</f>
        <v>269264.12242242007</v>
      </c>
      <c r="F96" s="152"/>
      <c r="G96" s="117"/>
      <c r="H96" s="117"/>
      <c r="I96" s="117"/>
      <c r="J96" s="117"/>
      <c r="K96" s="117"/>
    </row>
    <row r="97" spans="1:11" ht="15.75" thickTop="1">
      <c r="A97" s="95"/>
      <c r="B97" s="148"/>
      <c r="C97" s="115"/>
      <c r="D97" s="96"/>
      <c r="E97" s="153"/>
      <c r="F97" s="152"/>
      <c r="G97" s="117"/>
      <c r="H97" s="117"/>
      <c r="I97" s="117"/>
      <c r="J97" s="117"/>
      <c r="K97" s="117"/>
    </row>
    <row r="98" spans="1:11">
      <c r="A98" s="95"/>
      <c r="B98" s="148"/>
      <c r="C98" s="115"/>
      <c r="D98" s="96"/>
      <c r="E98" s="153"/>
      <c r="F98" s="152"/>
      <c r="G98" s="117"/>
      <c r="H98" s="117"/>
      <c r="I98" s="117"/>
      <c r="J98" s="117"/>
      <c r="K98" s="117"/>
    </row>
    <row r="99" spans="1:11">
      <c r="A99" s="154" t="s">
        <v>188</v>
      </c>
      <c r="B99" s="155"/>
      <c r="C99" s="156"/>
      <c r="D99" s="157"/>
      <c r="E99" s="158"/>
      <c r="F99" s="159"/>
      <c r="G99" s="117"/>
      <c r="H99" s="117"/>
      <c r="I99" s="117"/>
      <c r="J99" s="117"/>
      <c r="K99" s="117"/>
    </row>
    <row r="100" spans="1:11">
      <c r="A100" s="133"/>
      <c r="B100" s="160"/>
      <c r="C100" s="161"/>
      <c r="D100" s="162"/>
      <c r="E100" s="163" t="s">
        <v>231</v>
      </c>
      <c r="F100" s="164"/>
      <c r="G100" s="117"/>
      <c r="H100" s="117"/>
      <c r="I100" s="117"/>
      <c r="J100" s="117"/>
      <c r="K100" s="117"/>
    </row>
    <row r="101" spans="1:11">
      <c r="A101" s="133" t="s">
        <v>229</v>
      </c>
      <c r="B101" s="160"/>
      <c r="C101" s="161"/>
      <c r="D101" s="162"/>
      <c r="E101" s="163"/>
      <c r="F101" s="164"/>
      <c r="G101" s="117"/>
      <c r="H101" s="117"/>
      <c r="I101" s="117"/>
      <c r="J101" s="117"/>
      <c r="K101" s="117"/>
    </row>
    <row r="102" spans="1:11">
      <c r="A102" s="133"/>
      <c r="B102" s="160"/>
      <c r="C102" s="161"/>
      <c r="D102" s="162"/>
      <c r="E102" s="163"/>
      <c r="F102" s="164"/>
      <c r="G102" s="117"/>
      <c r="H102" s="117"/>
      <c r="I102" s="117"/>
      <c r="J102" s="117"/>
      <c r="K102" s="117"/>
    </row>
    <row r="103" spans="1:11">
      <c r="A103" s="133" t="s">
        <v>230</v>
      </c>
      <c r="B103" s="160"/>
      <c r="C103" s="161"/>
      <c r="D103" s="162"/>
      <c r="E103" s="163"/>
      <c r="F103" s="164"/>
      <c r="G103" s="117"/>
      <c r="H103" s="117"/>
      <c r="I103" s="117"/>
      <c r="J103" s="117"/>
      <c r="K103" s="117"/>
    </row>
    <row r="104" spans="1:11">
      <c r="A104" s="133"/>
      <c r="B104" s="160"/>
      <c r="C104" s="161"/>
      <c r="D104" s="162"/>
      <c r="E104" s="163"/>
      <c r="F104" s="164"/>
      <c r="G104" s="117"/>
      <c r="H104" s="117"/>
      <c r="I104" s="117"/>
      <c r="J104" s="117"/>
      <c r="K104" s="117"/>
    </row>
    <row r="105" spans="1:11">
      <c r="A105" s="133" t="s">
        <v>227</v>
      </c>
      <c r="B105" s="160"/>
      <c r="C105" s="161"/>
      <c r="D105" s="162"/>
      <c r="E105" s="163"/>
      <c r="F105" s="164"/>
      <c r="G105" s="117"/>
      <c r="H105" s="117"/>
      <c r="I105" s="117"/>
      <c r="J105" s="117"/>
      <c r="K105" s="117"/>
    </row>
    <row r="106" spans="1:11">
      <c r="A106" s="133"/>
      <c r="B106" s="160"/>
      <c r="C106" s="161"/>
      <c r="D106" s="162"/>
      <c r="E106" s="163"/>
      <c r="F106" s="164"/>
      <c r="G106" s="117"/>
      <c r="H106" s="117"/>
      <c r="I106" s="117"/>
      <c r="J106" s="117"/>
      <c r="K106" s="117"/>
    </row>
    <row r="107" spans="1:11">
      <c r="A107" s="133"/>
      <c r="B107" s="160"/>
      <c r="C107" s="161"/>
      <c r="D107" s="162"/>
      <c r="E107" s="163"/>
      <c r="F107" s="164"/>
      <c r="G107" s="117"/>
      <c r="H107" s="117"/>
      <c r="I107" s="117"/>
      <c r="J107" s="117"/>
      <c r="K107" s="117"/>
    </row>
    <row r="108" spans="1:11">
      <c r="A108" s="133"/>
      <c r="B108" s="160"/>
      <c r="C108" s="161"/>
      <c r="D108" s="162"/>
      <c r="E108" s="163"/>
      <c r="F108" s="164"/>
      <c r="G108" s="117"/>
      <c r="H108" s="117"/>
      <c r="I108" s="117"/>
      <c r="J108" s="117"/>
      <c r="K108" s="117"/>
    </row>
    <row r="109" spans="1:11">
      <c r="A109" s="165" t="s">
        <v>228</v>
      </c>
      <c r="B109" s="160"/>
      <c r="C109" s="161"/>
      <c r="D109" s="162"/>
      <c r="E109" s="163"/>
      <c r="F109" s="164"/>
      <c r="G109" s="117"/>
      <c r="H109" s="117"/>
      <c r="I109" s="117"/>
      <c r="J109" s="117"/>
      <c r="K109" s="117"/>
    </row>
    <row r="110" spans="1:11">
      <c r="A110" s="165" t="s">
        <v>232</v>
      </c>
      <c r="B110" s="160"/>
      <c r="C110" s="161"/>
      <c r="D110" s="162"/>
      <c r="E110" s="163"/>
      <c r="F110" s="164"/>
      <c r="G110" s="117"/>
      <c r="H110" s="117"/>
      <c r="I110" s="117"/>
      <c r="J110" s="117"/>
      <c r="K110" s="117"/>
    </row>
    <row r="111" spans="1:11">
      <c r="A111" s="166"/>
      <c r="B111" s="167"/>
      <c r="C111" s="168"/>
      <c r="D111" s="169"/>
      <c r="E111" s="170"/>
      <c r="F111" s="171"/>
      <c r="G111" s="117"/>
      <c r="H111" s="117"/>
      <c r="I111" s="117"/>
      <c r="J111" s="117"/>
      <c r="K111" s="117"/>
    </row>
    <row r="112" spans="1:11">
      <c r="A112" s="95"/>
      <c r="B112" s="148"/>
      <c r="C112" s="115"/>
      <c r="D112" s="96"/>
      <c r="E112" s="153"/>
      <c r="F112" s="152"/>
      <c r="G112" s="117"/>
      <c r="H112" s="117"/>
      <c r="I112" s="117"/>
      <c r="J112" s="117"/>
      <c r="K112" s="117"/>
    </row>
    <row r="113" spans="1:11" ht="25.5">
      <c r="A113" s="95"/>
      <c r="B113" s="148"/>
      <c r="C113" s="115"/>
      <c r="D113" s="172" t="s">
        <v>124</v>
      </c>
      <c r="E113" s="173" t="s">
        <v>209</v>
      </c>
      <c r="F113" s="174" t="s">
        <v>210</v>
      </c>
      <c r="G113" s="175"/>
      <c r="H113" s="117"/>
      <c r="I113" s="117"/>
      <c r="J113" s="117"/>
      <c r="K113" s="117"/>
    </row>
    <row r="114" spans="1:11">
      <c r="A114" s="95" t="s">
        <v>207</v>
      </c>
      <c r="B114" s="148"/>
      <c r="C114" s="115"/>
      <c r="D114" s="176">
        <f>G21</f>
        <v>3631874.3169510351</v>
      </c>
      <c r="E114" s="150">
        <f>G27</f>
        <v>3129218.7223487259</v>
      </c>
      <c r="F114" s="177">
        <f>D114-E114</f>
        <v>502655.59460230917</v>
      </c>
      <c r="G114" s="117"/>
      <c r="H114" s="117"/>
      <c r="I114" s="117"/>
      <c r="J114" s="117"/>
      <c r="K114" s="117"/>
    </row>
    <row r="115" spans="1:11">
      <c r="A115" s="95"/>
      <c r="B115" s="148"/>
      <c r="C115" s="115"/>
      <c r="D115" s="176"/>
      <c r="E115" s="150"/>
      <c r="F115" s="177"/>
      <c r="G115" s="117"/>
      <c r="H115" s="117"/>
      <c r="I115" s="117"/>
      <c r="J115" s="117"/>
      <c r="K115" s="117"/>
    </row>
    <row r="116" spans="1:11">
      <c r="A116" s="95" t="s">
        <v>208</v>
      </c>
      <c r="B116" s="148"/>
      <c r="C116" s="115"/>
      <c r="D116" s="176">
        <f>F62</f>
        <v>232246.11788774756</v>
      </c>
      <c r="E116" s="150">
        <f>F55</f>
        <v>263270.65204453148</v>
      </c>
      <c r="F116" s="177">
        <f>(D116-E116)</f>
        <v>-31024.53415678392</v>
      </c>
      <c r="G116" s="143">
        <f>F73</f>
        <v>-4033.1894403819097</v>
      </c>
      <c r="H116" s="117"/>
      <c r="I116" s="117"/>
      <c r="J116" s="117"/>
      <c r="K116" s="117"/>
    </row>
    <row r="117" spans="1:11">
      <c r="A117" s="95" t="s">
        <v>172</v>
      </c>
      <c r="B117" s="95"/>
      <c r="C117" s="115"/>
      <c r="D117" s="176">
        <f>G78</f>
        <v>270931.11882798257</v>
      </c>
      <c r="E117" s="116">
        <f>G81</f>
        <v>418830.71509639826</v>
      </c>
      <c r="F117" s="117">
        <f>D117-E117</f>
        <v>-147899.59626841568</v>
      </c>
      <c r="G117" s="117"/>
      <c r="H117" s="117"/>
      <c r="I117" s="117"/>
      <c r="J117" s="117"/>
      <c r="K117" s="117"/>
    </row>
    <row r="118" spans="1:11">
      <c r="A118" s="75" t="s">
        <v>175</v>
      </c>
      <c r="D118" s="178">
        <f>G88</f>
        <v>385324.25788868638</v>
      </c>
      <c r="E118" s="179"/>
      <c r="F118" s="179"/>
      <c r="G118" s="179"/>
    </row>
    <row r="136" spans="1:7">
      <c r="A136" s="207" t="s">
        <v>211</v>
      </c>
      <c r="B136" s="207"/>
      <c r="C136" s="207"/>
      <c r="E136" s="207" t="s">
        <v>242</v>
      </c>
      <c r="F136" s="207"/>
      <c r="G136" s="207"/>
    </row>
    <row r="137" spans="1:7" ht="61.5" customHeight="1">
      <c r="A137" s="207"/>
      <c r="B137" s="207"/>
      <c r="C137" s="207"/>
      <c r="E137" s="207"/>
      <c r="F137" s="207"/>
      <c r="G137" s="207"/>
    </row>
    <row r="155" spans="1:7">
      <c r="A155" s="207" t="s">
        <v>244</v>
      </c>
      <c r="B155" s="207"/>
      <c r="C155" s="207"/>
      <c r="E155" s="207" t="s">
        <v>243</v>
      </c>
      <c r="F155" s="207"/>
      <c r="G155" s="207"/>
    </row>
    <row r="156" spans="1:7" ht="45.95" customHeight="1">
      <c r="A156" s="207"/>
      <c r="B156" s="207"/>
      <c r="C156" s="207"/>
      <c r="E156" s="207"/>
      <c r="F156" s="207"/>
      <c r="G156" s="207"/>
    </row>
  </sheetData>
  <mergeCells count="7">
    <mergeCell ref="A155:C156"/>
    <mergeCell ref="E155:G156"/>
    <mergeCell ref="E3:E5"/>
    <mergeCell ref="A7:A11"/>
    <mergeCell ref="E7:E12"/>
    <mergeCell ref="A136:C137"/>
    <mergeCell ref="E136:G13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Punto de equilibrio</vt:lpstr>
      <vt:lpstr>Adminis CxC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Miguel Jaramillo Largo</dc:creator>
  <cp:lastModifiedBy>ASUS M5401</cp:lastModifiedBy>
  <dcterms:created xsi:type="dcterms:W3CDTF">2022-05-28T00:14:29Z</dcterms:created>
  <dcterms:modified xsi:type="dcterms:W3CDTF">2022-06-05T04:44:20Z</dcterms:modified>
</cp:coreProperties>
</file>